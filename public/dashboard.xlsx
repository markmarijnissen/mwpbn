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7"/>
  </bookViews>
  <sheets>
    <sheet name="Toelichting" sheetId="1" state="visible" r:id="rId1"/>
    <sheet name="Dashboard" sheetId="2" state="visible" r:id="rId2"/>
    <sheet name="1. Contactgegevens" sheetId="3" state="visible" r:id="rId3"/>
    <sheet name="2. Opgaven doorontwikk" sheetId="4" state="visible" r:id="rId4"/>
    <sheet name="3. Aanbod" sheetId="5" state="visible" r:id="rId5"/>
    <sheet name="4. (provinciale) Samenwerking" sheetId="6" state="visible" r:id="rId6"/>
    <sheet name="5. Maatwerkplan collectief" sheetId="7" state="visible" r:id="rId7"/>
    <sheet name="bestanden" sheetId="8" state="visible" r:id="rId8"/>
  </sheets>
  <calcPr/>
  <extLst>
    <ext xmlns:x15="http://schemas.microsoft.com/office/spreadsheetml/2010/11/main" uri="{D0CA8CA8-9F24-4464-BF8E-62219DCF47F9}"/>
  </extLst>
</workbook>
</file>

<file path=xl/sharedStrings.xml><?xml version="1.0" encoding="utf-8"?>
<sst xmlns="http://schemas.openxmlformats.org/spreadsheetml/2006/main" count="257" uniqueCount="257">
  <si>
    <t>Toelichting</t>
  </si>
  <si>
    <t xml:space="preserve">In dit Excel-bestand worden verschillende maatwerkplannen samengevoegd. Tabblad 1 t/m 5 laten nu alle gegevens zien (en een samenvatting).</t>
  </si>
  <si>
    <t xml:space="preserve">Maatwerkplannen toevoegen</t>
  </si>
  <si>
    <t xml:space="preserve">Je kunt zelf maatwerkplannen toevoegen aan dit excel-bestand met deze tool:</t>
  </si>
  <si>
    <t>https://mwpbn.madebymark.nl</t>
  </si>
  <si>
    <t xml:space="preserve">Let op!</t>
  </si>
  <si>
    <t xml:space="preserve">Je mag géén rijen of kolommen toevoegen of verwijderen in tabblad 1 t/m 5. Anders komen de gegevens van de maatwerkplannen op de verkeerde plek!</t>
  </si>
  <si>
    <t xml:space="preserve">Maak je eigen analyse</t>
  </si>
  <si>
    <t xml:space="preserve">Je kunt wél andere tabbladen aanmaken om daar je analyse te doen, zoals:</t>
  </si>
  <si>
    <t>dashboard</t>
  </si>
  <si>
    <t>Nr</t>
  </si>
  <si>
    <t>Collectief</t>
  </si>
  <si>
    <t xml:space="preserve">Naam Contactpersoon</t>
  </si>
  <si>
    <t xml:space="preserve">Functie Contactpersoon</t>
  </si>
  <si>
    <t xml:space="preserve">E-mail Contactpersoon</t>
  </si>
  <si>
    <t xml:space="preserve">Telefoonnummer Contactpersoon</t>
  </si>
  <si>
    <t xml:space="preserve">Naam Procesbegeleider</t>
  </si>
  <si>
    <t xml:space="preserve">E-mail Procesbegeleider</t>
  </si>
  <si>
    <t xml:space="preserve">Telefoonnummer Procesbegeleider</t>
  </si>
  <si>
    <t xml:space="preserve">Naam 1</t>
  </si>
  <si>
    <t xml:space="preserve">Functie 1</t>
  </si>
  <si>
    <t xml:space="preserve">Naam 2</t>
  </si>
  <si>
    <t xml:space="preserve">Functie 2</t>
  </si>
  <si>
    <t xml:space="preserve">Naam 3</t>
  </si>
  <si>
    <t xml:space="preserve">Functie 3</t>
  </si>
  <si>
    <t xml:space="preserve">Naam 4</t>
  </si>
  <si>
    <t xml:space="preserve">Functie 4</t>
  </si>
  <si>
    <t xml:space="preserve">Naam 5</t>
  </si>
  <si>
    <t xml:space="preserve">Functie 5</t>
  </si>
  <si>
    <t xml:space="preserve">Naam 6</t>
  </si>
  <si>
    <t xml:space="preserve">Functie 6</t>
  </si>
  <si>
    <t xml:space="preserve">Naam 7</t>
  </si>
  <si>
    <t xml:space="preserve">Functie 7</t>
  </si>
  <si>
    <t xml:space="preserve">Naam 8</t>
  </si>
  <si>
    <t xml:space="preserve">Functie 8</t>
  </si>
  <si>
    <t xml:space="preserve">Naam 9</t>
  </si>
  <si>
    <t xml:space="preserve">Functie 9</t>
  </si>
  <si>
    <t xml:space="preserve">Naam 10</t>
  </si>
  <si>
    <t xml:space="preserve">Functie 10</t>
  </si>
  <si>
    <t xml:space="preserve">Naam 11</t>
  </si>
  <si>
    <t xml:space="preserve">Functie 11</t>
  </si>
  <si>
    <t xml:space="preserve">Naam 12</t>
  </si>
  <si>
    <t xml:space="preserve">Functie 12</t>
  </si>
  <si>
    <t xml:space="preserve">Aantal keer aangevinkt</t>
  </si>
  <si>
    <t>Kwaliteit</t>
  </si>
  <si>
    <t>Naam</t>
  </si>
  <si>
    <t>Basiskwaliteit</t>
  </si>
  <si>
    <t xml:space="preserve">0 (Leeg)</t>
  </si>
  <si>
    <t xml:space="preserve">1 (Voldoet)</t>
  </si>
  <si>
    <t xml:space="preserve">2 (Ontwikkel)</t>
  </si>
  <si>
    <t xml:space="preserve">3 (Beiden)</t>
  </si>
  <si>
    <t xml:space="preserve">Som ontwikkel</t>
  </si>
  <si>
    <t xml:space="preserve">De missie van het collectief is besproken in het bestuur, vastgesteld in de ALV en sluit inhoudelijk aan bij de missie van BoerenNatuur.</t>
  </si>
  <si>
    <t xml:space="preserve">De visie en strategie zijn schriftelijk vastgelegd en worden minimaal eens per 3 jaar door het bestuur geevalueerd en, indien nodig, herzien.</t>
  </si>
  <si>
    <t xml:space="preserve">Missie en visie zijn besproken met medewerkers en leden en vormen de basis voor keuzes in projecten en communicatie.</t>
  </si>
  <si>
    <t xml:space="preserve">Er is een meerjarenplan gekoppeld aan de strategie, met concrete acties en tussentijdse evaluatiemomenten.</t>
  </si>
  <si>
    <t xml:space="preserve">Er is een heldere scheiding tussen bestuur en uitvoering, met vastgelegde taakverdeling in functiebeschrijvingen.</t>
  </si>
  <si>
    <t xml:space="preserve">Het bestuur vergadert minimaal zes keer per jaar. Van elke vergadering worden besluiten en acties schriftelijk vastgelegd en bewaard.</t>
  </si>
  <si>
    <t xml:space="preserve">Het collectief evalueert projecten of werkwijzen, en gebruikt leerpunten om werkprocessen te verbeteren.</t>
  </si>
  <si>
    <t xml:space="preserve">Er is HR-beleid met aandacht voor arbeidsvoorwaarden, werving en selectie, beloning en begeleiding van medewerkers.</t>
  </si>
  <si>
    <t xml:space="preserve">Er is een door het collectief vastgelegd inwerkprogramma voor nieuwe bestuurders en medewerkers.</t>
  </si>
  <si>
    <t xml:space="preserve">Voor alle sleutelrollen binnen het collectief is vastgelegd hoe continuïteit wordt geborgd bij ziekte of uitval van medewerkers. Er is een actueel overzicht van vervangingsmogelijkheden en de meest kritische werkwijzen en -processen zijn vastgelegd.</t>
  </si>
  <si>
    <t xml:space="preserve">Het collectief stelt jaarlijks een inhoudelijk jaarverslag op voor leden en relaties, met ten minste een terugblik op uitgevoerde activiteiten en projecten.</t>
  </si>
  <si>
    <t xml:space="preserve">Het collectief heeft een communicatiestrategie met doelen, doelgroepen en bijbehorende communicatiemiddelen. De uitvoering wordt jaarlijks geëvalueerd.</t>
  </si>
  <si>
    <t xml:space="preserve">Het collectief stelt jaarlijks een jaarrekening op, voorzien van ten minste een samenstellingsverklaring van een accountant.</t>
  </si>
  <si>
    <t xml:space="preserve">Voor elke betaling is aantoonbaar welke persoon/personen deze hebben goedgekeurd (conform gemandateerd bedrag). De betalingsworkflow is vastgelegd en transparant.</t>
  </si>
  <si>
    <t xml:space="preserve">Het collectief beschikt over financieel beleid ten aanzien van het eigen vermogen en financiele reserve. De minimale reserve is afgestemd op de vaste operationele lasten van de organisatie. Het bufferbeleid wordt minstens eens in de beheerperiode herzien en vastgesteld door het bestuur.</t>
  </si>
  <si>
    <t xml:space="preserve">Het collectief heeft een jaarbegroting én een meerjarenbegroting voor de gehele beheerperiode, vastgesteld door de ALV. Bij wijzigingen van omzet stelt het bestuur deze bij.</t>
  </si>
  <si>
    <t xml:space="preserve">Het collectief heeft inzicht in zijn kosten en kan op basis van deze kosten komen tot een projectcalculatie inclusief interne kostprijs, en benut deze voor het bepalen van een extern projecttarief.</t>
  </si>
  <si>
    <t xml:space="preserve">Het collectief werkt met een boekhoudpakket (geen Excel).</t>
  </si>
  <si>
    <t xml:space="preserve">Het collectief beschikt over een door het bestuur vastgestelde beheerstrategie. Deze bevat ten minste ecologisch onderbouwde keuzes voor: 
Agrarisch natuurbeheer focusgebieden (zoals leefgebied en categorie) en doel(soort)en conform Natuurbeheerplan provincie
Beschikbare beheerpakketten en hoe deze ingezet worden
Spelregels voor deelname agrarisch natuurbeheer door agrarisch grondgebruikers
</t>
  </si>
  <si>
    <t xml:space="preserve">Keuzes binnen beheer kunnen ecologisch worden onderbouwd o.a. door lerend beheren. Lerend beheren wordt structureel geborgd binnen het collectief door expertise in en het uitvoeren van ecologische monitoring via protocollen, analyse, evaluatie en rapportage hiervan. </t>
  </si>
  <si>
    <t xml:space="preserve">Alle digitale systemen hebben een werkende back-up voorziening in de cloud. Dit systeem kan door minimaal 2 personen (met rechtenstructuur) beheerd worden: de admin rol.</t>
  </si>
  <si>
    <t xml:space="preserve">Alle documenten zijn opgeslagen in een goed toegankelijk, gestructureerd, digitaal archief.
</t>
  </si>
  <si>
    <t xml:space="preserve">Het toegangsbeheer is geregeld voor bestuur en werkorganisatie: rollen en rechten zijn vastgelegd per systeem of archief en alleen bevoegde personen hebben toegang. We gebruiken sterke wachtwoorden en twee-factor-authenticatie.</t>
  </si>
  <si>
    <t xml:space="preserve">Het collectief werkt conform AVG-wetgeving. Met alle medewerkers (intern en extern) en bestuursleden zijn afspraken gemaakt over het naleven hiervan.</t>
  </si>
  <si>
    <t xml:space="preserve">Er is een bestuurlijk vastgesteld document dat beschrijft of en hoe data gedeeld wordt met derden. </t>
  </si>
  <si>
    <t xml:space="preserve">Het collectief beschikt over een door het bestuur vastgesteld vrijwilligersbeleid. Hierin zijn tenminste afspraken vastgelegd over verzekeringen, eventuele vergoedingen, de taken en verantwoordelijkheden van vrijwilligers en de begeleiding en ondersteuning die zij van het collectief krijgen.</t>
  </si>
  <si>
    <t xml:space="preserve">Minimaal één keer per jaar reflecteren de bestuurders gezamenlijk of individueel op hun functioneren. Verbeterpunten worden gezamenlijk besproken en vastgelegd ter opvolging.</t>
  </si>
  <si>
    <t xml:space="preserve">Alle bestuurders nemen minimaal eens in de drie jaar deel aan een cursus, training of intervisie gericht op bestuurdersvaardigheden of actuele thema’s.</t>
  </si>
  <si>
    <t xml:space="preserve">Met elke medewerker vindt jaarlijks een individueel gesprek plaats over ontwikkeling. De afspraken en aandachtspunten worden schriftelijk vastgelegd.</t>
  </si>
  <si>
    <t xml:space="preserve">Een ruime meerderheid van de medewerkers neemt jaarlijks deel aan een vaardigheidscursus, training of intervisie (richtlijn: circa drie dagdelen).</t>
  </si>
  <si>
    <t xml:space="preserve">Jaarlijks vindt ten minste één teambijeenkomst plaats met alle medewerkers, gericht op reflectie en versterking van de onderlinge samenwerking.</t>
  </si>
  <si>
    <t xml:space="preserve">Het collectief organiseert kennisontwikkeling en kennisdeling binnen het team, minimaal via werkoverleggen of intervisie.</t>
  </si>
  <si>
    <t xml:space="preserve">Binnen het collectief is minimaal één persoon die de ANLb-regeling goed begrijpt en strategische keuzes kan maken i.r.t. de jaarlijkse uitbetaling van het ANLb.</t>
  </si>
  <si>
    <t xml:space="preserve">Het collectief borgt de kwaliteit van ecologische kennis door de inzet van een of meer personen met een relevante afgeronde hbo- of wo opleiding (ecologie, biologie of een verwante discipline). 
In het kwaliteitshandboek is vastgelegd dat deze inzet wordt benut bij minimaal de volgende taken: het opstellen van de beheerstrategie en de beheerpakketten, (evaluatie van) beheermonitoring, ecologische onderbouwing van de gebiedsaanvraag en het vergroten van de kennis van medewerkers en leden.
</t>
  </si>
  <si>
    <t xml:space="preserve">Het collectief organiseert minimaal 2 x per jaar ledenbijeenkomsten gericht op kennisdeling of interactie. De bijeenkomst en opkomstcijfers worden geëvalueerd.</t>
  </si>
  <si>
    <t xml:space="preserve">Het collectief werkt actief aan het versterken van de ledenbetrokkenheid. Het bestuur agendeert ledenbetrokkenheid jaarlijks, bespreekt signalen, opkomstcijfers en feedback, en bepaalt waar bijsturing nodig is.</t>
  </si>
  <si>
    <t xml:space="preserve">Er vindt minimaal twee keer per jaar ambtelijk overleg plaats tussen medewerkers van het collectief en provincieambtenaren.</t>
  </si>
  <si>
    <t xml:space="preserve">Minimaal eenmaal per jaar vindt er bestuurlijk overleg plaats met de provincie, individueel of gezamenlijk met andere collectieven. Daarbij zijn de gedeputeerde en/of Statenleden aanwezig.</t>
  </si>
  <si>
    <t xml:space="preserve">Het collectief beschikt over een actueel overzicht van relevante gebiedspartijen, met contactpersonen en afspraken over contactmomenten. Dit overzicht wordt minimaal jaarlijks geactualiseerd.</t>
  </si>
  <si>
    <t xml:space="preserve">Met de directe, relevante stakeholders (bijvoorbeeld terreinbeherende organisaties en waterschappen) vindt minimaal één per jaar overleg plaats. De frequentie en genodigden (bestuurlijk en/of uitvoerend) wordt afgestemd op de aard van de samenwerking.</t>
  </si>
  <si>
    <t xml:space="preserve">Het collectief neemt actief deel aan landelijke afstemmingsoverleggen met BoerenNatuur en is aanwezig op ALV, voor- en najaarbijeenkomsten en wordt gerepresenteerd in het provinciaal secretarisoverleg.</t>
  </si>
  <si>
    <t xml:space="preserve">Het collectief heeft minimaal 2 x per jaar een intra- of interprovinciaal afstemmingsoverleg met collega collectieven.</t>
  </si>
  <si>
    <t>Collectief:</t>
  </si>
  <si>
    <t xml:space="preserve">Mogelijk aanbod
(producten en diensten)</t>
  </si>
  <si>
    <t>Criterium</t>
  </si>
  <si>
    <t>Som</t>
  </si>
  <si>
    <t xml:space="preserve">1. Stappenplan 'Opstellen missie, visie en strategie'</t>
  </si>
  <si>
    <t xml:space="preserve">2. Inspiratiesessie / webinar over het belang van een missie en hoe je deze vastlegt en actueel houdt</t>
  </si>
  <si>
    <t xml:space="preserve">1. Stappenplan 'Opstellen missie, visie en strategie' (zie criterium 1)</t>
  </si>
  <si>
    <t xml:space="preserve">2. Training: hoe maak je een strategische visie?</t>
  </si>
  <si>
    <t xml:space="preserve">3. Checklist 'Evalueren en actualiseren visie en strategie' inclusief evaluatievragen</t>
  </si>
  <si>
    <t xml:space="preserve">4. Inspiratiesessie / webinar over het belang van een visie en strategie en hoe je deze evalueert én intern + extern deelt</t>
  </si>
  <si>
    <t xml:space="preserve">1. Stappenplan 'Missie en visie intern en extern verankeren'</t>
  </si>
  <si>
    <t xml:space="preserve">2. Inspiratiesessie / webinar over het belang van een visie en strategie en hoe je deze evalueert én intern + extern deelt (zie criterium 2)</t>
  </si>
  <si>
    <t xml:space="preserve">1. Format en voorbeeld voor een meerjarenplan met actietabel en evaluatiemomenten</t>
  </si>
  <si>
    <t xml:space="preserve">2. Format en voorbeeld voor een jaarplan</t>
  </si>
  <si>
    <t xml:space="preserve">3. Checklist 'Toetsing meerjarenplan' waarmee collectief stapsgewijs kan toetsen of hun meerjarenplan compleet, haalbaar en goed te volgen is</t>
  </si>
  <si>
    <t xml:space="preserve">4. Inspiratiesessie / webinar over het omzetten van strategie naar uitvoerbare plannen</t>
  </si>
  <si>
    <t xml:space="preserve">1. Format en voorbeeld bestuursreglement, inclusief mandateringsmatrix</t>
  </si>
  <si>
    <t xml:space="preserve">2. Format en voorbeeld directiereglement, inclusief mandateringsmatrix</t>
  </si>
  <si>
    <t xml:space="preserve">3. Format en voorbeeld huishoudelijk reglement</t>
  </si>
  <si>
    <t xml:space="preserve">4. Document met overwegingen voor het (wel of niet) werken met bestuursportefeuilles.</t>
  </si>
  <si>
    <t xml:space="preserve">5. Inspiratiesessie / webinar over effectieve aansturing in agrarische collectieven: scheiden verantwoordelijkheden met behoud van verbinding tussen bestuur en werkorganisatie</t>
  </si>
  <si>
    <t xml:space="preserve">6. Uitwerking van praktische taken en rollen die bij bestuur of werkorganisatie passen om die scheiding beter te kunnen snappen / doorleven</t>
  </si>
  <si>
    <t xml:space="preserve">1. Format voor agenda, besluiten/actielijst en verslag</t>
  </si>
  <si>
    <t xml:space="preserve">2. Voorbeeldproces voor archivering en bewaartermijnen</t>
  </si>
  <si>
    <t xml:space="preserve">3. Workshop effectief en efficient vergaderen, inclusief grip houden op actiepunten en terugvinden van besluiten</t>
  </si>
  <si>
    <t xml:space="preserve">4. Overzicht van aantal applicaties met voor- en nadelen om het vastleggen van documentatie (versiebeheer) te faciliteren</t>
  </si>
  <si>
    <t xml:space="preserve">5. Advies voor een jaaragenda (jaarplan, begroting, jaarrekening etc.)</t>
  </si>
  <si>
    <t xml:space="preserve">1. Format voor een eenvoudige evaluatie- en leerpuntenrapportage incl. proces om verbeteracties te borgen</t>
  </si>
  <si>
    <t xml:space="preserve">2. Inspiratiesessie / webinar over effectieve evaluatiemethoden en het borgen van verbeteracties</t>
  </si>
  <si>
    <t xml:space="preserve">1. Format en voorbeeld HR beleidsdocument / arbeidsreglement</t>
  </si>
  <si>
    <t xml:space="preserve">2. Overzicht van relevante wettelijke verplichtingen en CAO bepalingen</t>
  </si>
  <si>
    <t xml:space="preserve">3. Stappenplan werving en selectie</t>
  </si>
  <si>
    <t xml:space="preserve">4. Inspiratiesessie / webinar over opgeleverde producten</t>
  </si>
  <si>
    <t xml:space="preserve">5. Aanstelling van een landelijk vertrouwenspersoon</t>
  </si>
  <si>
    <t xml:space="preserve">6. Stappenplan aanstellen eigen / provinciaal vertrouwenspersoon</t>
  </si>
  <si>
    <t xml:space="preserve">7. Leergroepen (Community of Practice) en/of intervisie gericht op HR, gefaciliteerd door BoerenNatuur</t>
  </si>
  <si>
    <t xml:space="preserve">8. Training HR / Goed werkgeverschap, wat en hoe moet je dat doen?</t>
  </si>
  <si>
    <t xml:space="preserve">9. Training: ziekte bij werknemers? Wat kan en moet ik doen?</t>
  </si>
  <si>
    <t xml:space="preserve">10. Onderzoeken van een gezamenlijke CAO BoerenNatuur (inclusief aansluiten bij gezamenlijke pensioensregeleing en Arbodienst)</t>
  </si>
  <si>
    <t xml:space="preserve">11. Geactualiseerde functieprofielen medewerkers + bestuur</t>
  </si>
  <si>
    <t xml:space="preserve">12. Kennis verspreiden over Risico-Inventarisatie en -Evaluatie (RI&amp;E)</t>
  </si>
  <si>
    <t xml:space="preserve">1. Format en voorbeeld inwerkprogramma voor zowel bestuurders als medewerkers</t>
  </si>
  <si>
    <t xml:space="preserve">2. Checklist met essentiële onderwerpen voor introductie</t>
  </si>
  <si>
    <t xml:space="preserve">3. E-learning modules die collectieven kunnen gebruiken</t>
  </si>
  <si>
    <t xml:space="preserve">1. Format voor een continuiteitsplan met overzicht van sleutelrollen, vervanging- en overdrachtsdocumentatie inclusief voorbeelden</t>
  </si>
  <si>
    <r>
      <t xml:space="preserve">Voor alle sleutelrollen binnen het collectief is vastgelegd hoe continuïteit wordt geborgd bij ziekte of uitval van medewerkers. Er is een actueel overzicht van vervangingsmogelijkheden </t>
    </r>
    <r>
      <rPr>
        <sz val="12"/>
        <color theme="1"/>
        <rFont val="Calibri"/>
        <scheme val="minor"/>
      </rPr>
      <t xml:space="preserve">en de meest kritische werkwijzen en -processen zijn vastgelegd.</t>
    </r>
  </si>
  <si>
    <t xml:space="preserve">2. Checklist voor overdraagbaarheid van taken en vastleggen van cruciale kennis</t>
  </si>
  <si>
    <t xml:space="preserve">1. Format en voorbeelden van collectieven voor een inhoudelijk jaarverslag</t>
  </si>
  <si>
    <t xml:space="preserve">1. Format en voorbeeld eenvoudige communicatiestrategie (doelen, belangrijkste doelgroepen, middelen en planning)</t>
  </si>
  <si>
    <t xml:space="preserve">2. Stappenplan voor het evalueren en bijstellen van de communicatiestrategie</t>
  </si>
  <si>
    <t xml:space="preserve">3. Werksessies met collectieven o.l.v. expert gefaciliteerd door BoerenNatuur Nederland. Eindresultaat: collectief heeft een eigen communicatiestrategie.</t>
  </si>
  <si>
    <t xml:space="preserve">4. Overzicht van leveranciers waar collectieven en BoerenNatuur goede ervaringen of raamovereenkomsten mee hebben (vakgebied communicatie)</t>
  </si>
  <si>
    <t xml:space="preserve">5. Leergroepen (Community of Practice) en/of intervisie gericht op communicatie (voor communicatiemedewerkers), gefaciliteerd door BoerenNatuur Nederland</t>
  </si>
  <si>
    <t xml:space="preserve">1. Factsheet over financiele transparantie en samenwerking met een accountant of boekhouder</t>
  </si>
  <si>
    <t xml:space="preserve">2. Inspiratiesessie / webinar over deze factsheet</t>
  </si>
  <si>
    <t xml:space="preserve">1. Voorbeeld betalingsworkflow inclusief mandateringsmatrix</t>
  </si>
  <si>
    <t xml:space="preserve">2. Voorbeelden van digitale systemen die deze workflow inzichtelijk maken</t>
  </si>
  <si>
    <t xml:space="preserve">3. Inspiratiesessie / webinar met demonstratie + toelichting van collectieven die met al met deze systemen werken</t>
  </si>
  <si>
    <t xml:space="preserve">1. Werksessie met penningmeesters o.l.v. expert. Eindresultaat: advies landelijk uniforme berekeningswijze van overhead. Zo kan ieder collectief zijn eigen percentage via dezelfde methodiek berekenen en onderling vergelijken. De hoogte van het percentage bepaalt elk collectief zelf.</t>
  </si>
  <si>
    <t xml:space="preserve">2. Factsheet / stappenplan 'Berekenen overheadpercentage'.</t>
  </si>
  <si>
    <t xml:space="preserve">3. Format en voorbeeld financieel beleid (met aandacht voor zaken als liquiditeit en solvabiliteit, ook i.r.t. projecten naast ANLb), inclusief rekenhulp</t>
  </si>
  <si>
    <t xml:space="preserve">4. Overzicht van richtlijnen en good practices voor passende reserves</t>
  </si>
  <si>
    <t xml:space="preserve">5. Inspiratiesessie / webinar over risicobeheersing en financiele continuiteit</t>
  </si>
  <si>
    <t xml:space="preserve">6. Leergroepen en/of intervisie gericht op financieel beheer (voor penningmeesters en financieel medewerkers)</t>
  </si>
  <si>
    <t xml:space="preserve">1. Format en voorbeeld voor jaar- en meerjaren begroting</t>
  </si>
  <si>
    <t xml:space="preserve">2. Stappenplan begrotingsproces, inclusief spelregels voor bijstellen</t>
  </si>
  <si>
    <t xml:space="preserve">3. Werksessies met penningmeesters en financieel medewerkers o.l.v. expert. Eindresultaat: collectief heeft een concept jaarbegroting en meerjarenbegroting.</t>
  </si>
  <si>
    <t xml:space="preserve">4. Format voor tussentijdse rapportages of systeem voor actueel inzicht</t>
  </si>
  <si>
    <t xml:space="preserve">1. Rekenmodel voor kostprijs- en projectcalculatie, inclusief voorbeeldberekening</t>
  </si>
  <si>
    <t xml:space="preserve">2. Inspiratiesessie / webinar met rekenmodel o.b.v. voorbeelden van collectieven</t>
  </si>
  <si>
    <t xml:space="preserve">1. Overzicht van geschikte boekhoudpakketten (waaronder minimaal Snelstart, Exact en Twinfield) met daarin een vergelijking van functies, kosten en gebruiksgemak</t>
  </si>
  <si>
    <t xml:space="preserve">2. Handleiding voor overstap van Excel naar boekhoudpakket, inclusief inrichtingstips</t>
  </si>
  <si>
    <t xml:space="preserve">3. Inspiratiesessie / webinar over geschikte boekhoudpakketten o.b.v. voorbeelden van collectieven die hier al mee werken</t>
  </si>
  <si>
    <t xml:space="preserve">1. Format en voorbeeld voor een beheerstrategie</t>
  </si>
  <si>
    <t xml:space="preserve">Het collectief beschikt over een door het bestuur vastgestelde beheerstrategie. Deze bevat ten minste ecologisch onderbouwde keuzes voor: 
 - Agrarisch natuurbeheer focusgebieden (zoals leefgebied en categorie) en doel(soort)en conform Natuurbeheerplan provincie
 - Beschikbare beheerpakketten en hoe deze ingezet worden
 - Spelregels voor deelname agrarisch natuurbeheer door agrarisch grondgebruikers</t>
  </si>
  <si>
    <t xml:space="preserve">2. Checklist 'Beheerstrategie' met alle onderwerpen en keuzemogelijkheden binnen de strategie</t>
  </si>
  <si>
    <t xml:space="preserve">3. Werksessies met collectieven o.l.v. een expert. Eindresultaat: het collectief heeft een eigen beheerstrategie</t>
  </si>
  <si>
    <t xml:space="preserve">1. Format voor monitoringsplan</t>
  </si>
  <si>
    <t xml:space="preserve">2. Cursus voor het maken van een monitoringsplan</t>
  </si>
  <si>
    <t xml:space="preserve">3. Cursus voor het gegevens analyseren en het evalueren van beheer</t>
  </si>
  <si>
    <t xml:space="preserve">4. Kennissessies over uitvoering beheermonitoring - wat staat er in de protocollen, hoe doe je dat</t>
  </si>
  <si>
    <t xml:space="preserve">5. Structureel kennisnetwerk monitoring gefaciliteerd door BoerenNatuur</t>
  </si>
  <si>
    <t xml:space="preserve">1. Overzicht van systemen met cloud back-ups waar collectieven goede ervaringen mee hebben.</t>
  </si>
  <si>
    <t xml:space="preserve">1. Overzicht van geschikte archief- en documentbeheersystemen, inclusief collectieven die hier al mee werken</t>
  </si>
  <si>
    <t xml:space="preserve">Alle documenten zijn opgeslagen in een goed toegankelijk, gestructureerd, digitaal archief.</t>
  </si>
  <si>
    <t xml:space="preserve">2. Handreiking voor het opzetten van een digitaal archief inclusief mappenstructuur en afspraken voor bestandsnamen</t>
  </si>
  <si>
    <t xml:space="preserve">1. Overzicht van applicaties waarbinnen collectieven het toegangsbeheer kunnen regelen</t>
  </si>
  <si>
    <t xml:space="preserve">1. Bestaande AVG-formats van BoerenNatuur (waar nodig geactualiseerd) met een Q&amp;A (nieuw)</t>
  </si>
  <si>
    <t xml:space="preserve">2. Inspiratiesessie / webinar 'AVG in de praktijk' o.l.v. expert met concrete voorbeelden uit de wereld van collectieven</t>
  </si>
  <si>
    <t xml:space="preserve">3. Protocol Datalek en incidenten</t>
  </si>
  <si>
    <t xml:space="preserve">1. Protocol voor een datadelingsbeleid inclusief AVG-vereisten en afspraken over niet-persoongebonden data</t>
  </si>
  <si>
    <t xml:space="preserve">2. Q&amp;A over juridische en praktische aandachtspunten bij het delen van data met derden</t>
  </si>
  <si>
    <t xml:space="preserve">1. Factsheet wet- en regelgeving vrijwilligerswerk met een overzicht van fiscale regels, verzekeringseisen en aansprakelijkheid</t>
  </si>
  <si>
    <t xml:space="preserve">2. Format en voorbeeld vrijwilligersbeleid</t>
  </si>
  <si>
    <t xml:space="preserve">3. Inspiratiegids werving, waardering en begeleiding vrijwilligers met praktische voorbeelden</t>
  </si>
  <si>
    <t xml:space="preserve">4. Inspiratiesessie / webinar waarin collectieven voorbeelden met elkaar uitwisselen</t>
  </si>
  <si>
    <t xml:space="preserve">5. Format vrijwilligersovereenkomst</t>
  </si>
  <si>
    <t xml:space="preserve">1. Format voor zelfevaluatie bestuur, inclusief vragen</t>
  </si>
  <si>
    <t xml:space="preserve">2. Training bestuursevaluatie: hoe doe je dat?</t>
  </si>
  <si>
    <t xml:space="preserve">3. Overzicht van partijen waar collectieven goede ervaringen mee hebben bij bestuursevaluaties</t>
  </si>
  <si>
    <t xml:space="preserve">4. Lijst met mogelijke coachingspartijen voor een bestuur (teamcoaching)</t>
  </si>
  <si>
    <t xml:space="preserve">1. Overzicht van relevante cursussen en trainingen gericht op bestuurdersvaardigheden: rol en uitvoering als voorzitter, financieel beheer voor penningmeesters, HR / goed werkgeverschap</t>
  </si>
  <si>
    <t xml:space="preserve">2. Intervisiegroepen om praktijkervaringen te delen en van elkaar te leren (voor voorzitters, penningmeesters, bestuurders in het algemeen)</t>
  </si>
  <si>
    <t xml:space="preserve">3. Lijst met mogelijke coachingspartijen voor voorzitters en/of bestuur</t>
  </si>
  <si>
    <t xml:space="preserve">4. E-learning modules gericht op specifieke thema's zoals financieel toezicht of samenwerking met de werkorganisatie</t>
  </si>
  <si>
    <t xml:space="preserve">5. Jaarlijks geactualiseerde korte instructie of cursus over digitaal veilig werken (bijvoorbeeld over phishing en wachtwoordbeheer), gefaciliteerd door BoerenNatuur</t>
  </si>
  <si>
    <t xml:space="preserve">1. Format voor ontwikkelgesprekken</t>
  </si>
  <si>
    <t xml:space="preserve">2. Handreiking met beschrijving van stappen om afspraken te monitoren en het gesprek jaarlijks te herhalen</t>
  </si>
  <si>
    <t xml:space="preserve">3. Praktische gespreksgids met tips voor leidinggevenden om het gesprek constructief en motiverend te voeren</t>
  </si>
  <si>
    <t xml:space="preserve">1. Voortzetting van (minimaal) huidig aanbod van BoerenNatuur, aanvulling van:</t>
  </si>
  <si>
    <t xml:space="preserve">2. Jaarlijks geactualiseerde korte instructie of cursus over digitaal veilig werken (bijvoorbeeld over phishing en wachtwoordbeheer), gefaciliteerd door BoerenNatuur</t>
  </si>
  <si>
    <t xml:space="preserve">3. Training Projectmatig werken</t>
  </si>
  <si>
    <t xml:space="preserve">4. Overzicht van mogelijke cursussen of trainingen waar collectieven goede ervaringen mee hebben.</t>
  </si>
  <si>
    <t xml:space="preserve">5. Training over inzet van kunstmatige intelligentie</t>
  </si>
  <si>
    <t xml:space="preserve">1. Inspiratiegids met thema's en activiteiten inclusief suggesties voor werkvormen rond reflectie, samenwerking en verbinding</t>
  </si>
  <si>
    <t xml:space="preserve">2. Overzicht van relevante aanbieders die dit kunnen begeleiden</t>
  </si>
  <si>
    <t xml:space="preserve">1. Handreiking voor kennisdeling in teams</t>
  </si>
  <si>
    <t xml:space="preserve">1. E-learning modules met uitleg van:
-	Fictieve rekenruimte bepalen (beleidstarief / tarief gebiedsaanvraag)
- Strategische keuzes maken in tarieven voor beheerpakketten
-	Oppervlaktebuffer bepalen
-	Strategisch oplossen van validatiefouten
- Analyse van betaalspecificaties van RVO
-	Consequenties van kortingen door RVO
</t>
  </si>
  <si>
    <t xml:space="preserve">2. Jaarlijkse webinars op strategische momenten met toelichting op updates van modules</t>
  </si>
  <si>
    <t xml:space="preserve">1. Uitgewerkt functieprofiel ecologisch expert, inclusief opleidingseisen, competenties en mogelijke taken en verantwoordelijkheden</t>
  </si>
  <si>
    <r>
      <t xml:space="preserve">Het collectief borgt de kwaliteit van ecologische kennis door de inzet van een of meer personen met een relevante afgeronde hbo- of wo opleiding (ecologie, biologie of een verwante discipline). 
</t>
    </r>
    <r>
      <rPr>
        <sz val="12"/>
        <color theme="1"/>
        <rFont val="Calibri"/>
        <scheme val="minor"/>
      </rPr>
      <t xml:space="preserve">In het kwaliteitshandboek is vastgelegd dat deze inzet wordt benut bij minimaal de volgende taken: het opstellen van de beheerstrategie en de beheerpakketten, (evaluatie van) beheermonitoring, ecologische onderbouwing van de gebiedsaanvraag en het vergroten van de kennis van medewerkers en leden.</t>
    </r>
  </si>
  <si>
    <t xml:space="preserve">2. Kennisnetwerk ecologie / landelijke leergroep (Community of Practice) voor ecologen binnen collectieven om kennis te delen en elkaar te versterken</t>
  </si>
  <si>
    <t xml:space="preserve">1. Format kennis- en interactieplan (met doelen, doelgroepen, kennis- en interactievormen)</t>
  </si>
  <si>
    <t xml:space="preserve">2. Inspiratiegids met voorbeelden van ledenbijeenkomsten van collectieven inclusief suggesties voor werkvormen die interactie en kennisdeling stimuleren</t>
  </si>
  <si>
    <t xml:space="preserve">3. Checklist voor evaluatie van bijeenkomsten</t>
  </si>
  <si>
    <t xml:space="preserve">4. Werksessies met collectieven o.l.v. een expert. Eindresultaat: het collectief heeft een beknopt en concreet kennis- en interactieplan voor leden.</t>
  </si>
  <si>
    <t xml:space="preserve">1. Overzicht van praktische manieren om ledenbetrokkenheid te monitoren</t>
  </si>
  <si>
    <t xml:space="preserve">2. Inspiratiegids met voorbeelden van ledenbinding / mogelijkheden om betrokkenheid te vergroten</t>
  </si>
  <si>
    <t xml:space="preserve">3. Inspiratiesessie / webinar met uitwisseling van voorbeelden hoe andere collectieven dit succesvol doen</t>
  </si>
  <si>
    <t>N.v.t.</t>
  </si>
  <si>
    <t xml:space="preserve">1. Inspiratiesessie / webinar met uitwisseling van voorbeelden hoe andere collectieven bestuurlijk overleg inzetten voor samenwerking en invloed.</t>
  </si>
  <si>
    <t xml:space="preserve">2. Intervisiebijeenkomst bestuur met 'politiek netwerk' als thema</t>
  </si>
  <si>
    <t xml:space="preserve">3. Basispresentatie waar staat het collectief voor (om te benutten bij nieuwe gedeputeerde / Statenleden).</t>
  </si>
  <si>
    <t xml:space="preserve">1. Factsheet krachtenveldanalyse (is er al)</t>
  </si>
  <si>
    <t xml:space="preserve">2. Format en voorbeeld van een dergelijk overzicht</t>
  </si>
  <si>
    <t xml:space="preserve">3. Provinciale werksessie o.l.v. procesbegeleider voor krachtenveldanalyse provinciale samenwerking i.r.t gebiedspartijen</t>
  </si>
  <si>
    <t xml:space="preserve">1. Basispresentatie waar staat het collectief voor (ook voor gemeente, waterschap, etc. waar kennis over collectieven vaak ontbreekt).</t>
  </si>
  <si>
    <t xml:space="preserve">2. Training in woordvoerder skills voor bestuurders en medewerkers die regelmatig naar buiten treden</t>
  </si>
  <si>
    <t xml:space="preserve">1. Overzicht jaarkalender met bijeenkomsten BoerenNatuur Nederland</t>
  </si>
  <si>
    <t xml:space="preserve">2. Handreiking afstemmingsroutes: indvidueel collectief / provinciale samenwerking / BoerenNatuur Nederland</t>
  </si>
  <si>
    <t xml:space="preserve">3. Provinciale werksessie o.l.v. procesbegeleider voor inrichting provinciale afstemming ter voorbereiding op landelijke overleggen</t>
  </si>
  <si>
    <t xml:space="preserve">0 (Niets)</t>
  </si>
  <si>
    <t xml:space="preserve">1 (Zelf)</t>
  </si>
  <si>
    <t xml:space="preserve">2 (Samen)</t>
  </si>
  <si>
    <t xml:space="preserve">3 (Zelf+Samen)</t>
  </si>
  <si>
    <t xml:space="preserve">Som samen</t>
  </si>
  <si>
    <t xml:space="preserve">Voor elke betaling is aantoonbaar welke persoon/personen deze hebben goedgekeurd (conform gemandateerd bedrag). De betalingsworkflow is vastgelegd en transparant.
</t>
  </si>
  <si>
    <t xml:space="preserve">Het collectief beschikt over een door het bestuur vastgestelde beheerstrategie. Deze bevat ten minste ecologisch onderbouwde keuzes voor: 
- Agrarisch natuurbeheer focusgebieden (zoals leefgebied en categorie) en doel(soort)en conform Natuurbeheerplan provincie
- Beschikbare beheerpakketten en hoe deze ingezet worden
- Spelregels voor deelname agrarisch natuurbeheer door agrarisch grondgebruikers
</t>
  </si>
  <si>
    <t xml:space="preserve">Het collectief beschikt over een door het bestuur vastgesteld vrijwilligersbeleid. Hierin zijn tenminste afspraken vastgelegd over verzekeringen, eventuele vergoedingen, de taken en verantwoordelijkheden van vrijwilligers en de begeleiding en ondersteuning die zij van het collectief krijgen.
</t>
  </si>
  <si>
    <t>Aanpak</t>
  </si>
  <si>
    <t>Trekker</t>
  </si>
  <si>
    <t>Status</t>
  </si>
  <si>
    <t>Voortgang</t>
  </si>
  <si>
    <t>Planning</t>
  </si>
  <si>
    <t>bestand</t>
  </si>
  <si>
    <t>collectief</t>
  </si>
  <si>
    <t>datum</t>
  </si>
  <si>
    <t xml:space="preserve">1 (aantal betrokkenen)</t>
  </si>
  <si>
    <t xml:space="preserve">2 (ontwikkelpunten)</t>
  </si>
  <si>
    <t xml:space="preserve">3 (aanbod)</t>
  </si>
  <si>
    <t xml:space="preserve">4 (provinciale samenwerking)</t>
  </si>
  <si>
    <t xml:space="preserve">5 (maatwerkplan aanpak)</t>
  </si>
  <si>
    <t>Foutmeldingen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</si>
</sst>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sz val="11.000000"/>
      <color theme="1"/>
      <name val="Calibri"/>
      <scheme val="minor"/>
    </font>
    <font>
      <u/>
      <sz val="11.000000"/>
      <color theme="10"/>
      <name val="Calibri"/>
    </font>
    <font>
      <sz val="12.000000"/>
      <color theme="1"/>
      <name val="Calibri"/>
      <scheme val="minor"/>
    </font>
    <font>
      <sz val="12.000000"/>
      <name val="Calibri"/>
      <scheme val="minor"/>
    </font>
  </fonts>
  <fills count="3">
    <fill>
      <patternFill patternType="none"/>
    </fill>
    <fill>
      <patternFill patternType="gray125"/>
    </fill>
    <fill>
      <patternFill patternType="solid">
        <fgColor theme="0" tint="-0.249977111117893"/>
        <bgColor theme="0" tint="-0.249977111117893"/>
      </patternFill>
    </fill>
  </fills>
  <borders count="6">
    <border>
      <left style="none"/>
      <right style="none"/>
      <top style="none"/>
      <bottom style="none"/>
      <diagonal style="none"/>
    </border>
    <border>
      <left style="thin">
        <color auto="1"/>
      </left>
      <right style="thin">
        <color auto="1"/>
      </right>
      <top style="none"/>
      <bottom style="thin">
        <color auto="1"/>
      </bottom>
      <diagonal style="none"/>
    </border>
    <border>
      <left style="thin">
        <color auto="1"/>
      </left>
      <right style="thin">
        <color auto="1"/>
      </right>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thin">
        <color auto="1"/>
      </top>
      <bottom style="thin">
        <color auto="1"/>
      </bottom>
      <diagonal style="none"/>
    </border>
  </borders>
  <cellStyleXfs count="1">
    <xf fontId="0" fillId="0" borderId="0" numFmtId="0" applyNumberFormat="1" applyFont="1" applyFill="1" applyBorder="1"/>
  </cellStyleXfs>
  <cellXfs count="26">
    <xf fontId="0" fillId="0" borderId="0" numFmtId="0" xfId="0"/>
    <xf fontId="1" fillId="0" borderId="0" numFmtId="0" xfId="0" applyFont="1"/>
    <xf fontId="0" fillId="0" borderId="0" numFmtId="0" xfId="0" applyAlignment="1">
      <alignment wrapText="1"/>
    </xf>
    <xf fontId="1" fillId="0" borderId="0" numFmtId="0" xfId="0" applyFont="1" applyAlignment="1">
      <alignment wrapText="1"/>
    </xf>
    <xf fontId="2" fillId="0" borderId="0" numFmtId="0" xfId="0" applyFont="1"/>
    <xf fontId="1" fillId="0" borderId="0" numFmtId="0" xfId="0" applyFont="1">
      <protection hidden="0" locked="1"/>
    </xf>
    <xf fontId="0" fillId="0" borderId="0" numFmtId="0" xfId="0">
      <protection hidden="0" locked="1"/>
    </xf>
    <xf fontId="1" fillId="2" borderId="0" numFmtId="0" xfId="0" applyFont="1" applyFill="1"/>
    <xf fontId="0" fillId="2" borderId="0" numFmtId="0" xfId="0" applyFill="1">
      <protection hidden="0" locked="1"/>
    </xf>
    <xf fontId="3" fillId="0" borderId="1" numFmtId="0" xfId="0" applyFont="1" applyBorder="1" applyAlignment="1">
      <alignment horizontal="left" vertical="top" wrapText="1"/>
    </xf>
    <xf fontId="3" fillId="0" borderId="2" numFmtId="0" xfId="0" applyFont="1" applyBorder="1" applyAlignment="1">
      <alignment horizontal="center" vertical="top"/>
    </xf>
    <xf fontId="4" fillId="0" borderId="2" numFmtId="0" xfId="0" applyFont="1" applyBorder="1" applyAlignment="1">
      <alignment horizontal="left" vertical="top" wrapText="1"/>
    </xf>
    <xf fontId="3" fillId="0" borderId="3" numFmtId="0" xfId="0" applyFont="1" applyBorder="1" applyAlignment="1">
      <alignment horizontal="left" vertical="top" wrapText="1"/>
    </xf>
    <xf fontId="3" fillId="0" borderId="1" numFmtId="0" xfId="0" applyFont="1" applyBorder="1" applyAlignment="1">
      <alignment horizontal="center" vertical="top"/>
    </xf>
    <xf fontId="4" fillId="0" borderId="1" numFmtId="0" xfId="0" applyFont="1" applyBorder="1" applyAlignment="1">
      <alignment horizontal="left" vertical="top" wrapText="1"/>
    </xf>
    <xf fontId="0" fillId="0" borderId="0" numFmtId="0" xfId="0"/>
    <xf fontId="3" fillId="0" borderId="4" numFmtId="0" xfId="0" applyFont="1" applyBorder="1" applyAlignment="1">
      <alignment horizontal="center" vertical="top"/>
    </xf>
    <xf fontId="4" fillId="0" borderId="4" numFmtId="0" xfId="0" applyFont="1" applyBorder="1" applyAlignment="1">
      <alignment horizontal="left" vertical="top" wrapText="1"/>
    </xf>
    <xf fontId="4" fillId="0" borderId="3" numFmtId="0" xfId="0" applyFont="1" applyBorder="1" applyAlignment="1">
      <alignment horizontal="left" vertical="top" wrapText="1"/>
    </xf>
    <xf fontId="3" fillId="0" borderId="3" numFmtId="0" xfId="0" applyFont="1" applyBorder="1" applyAlignment="1">
      <alignment vertical="top" wrapText="1"/>
    </xf>
    <xf fontId="3" fillId="0" borderId="4" numFmtId="0" xfId="0" applyFont="1" applyBorder="1" applyAlignment="1">
      <alignment horizontal="left" vertical="top" wrapText="1"/>
    </xf>
    <xf fontId="4" fillId="0" borderId="5" numFmtId="0" xfId="0" applyFont="1" applyBorder="1" applyAlignment="1">
      <alignment horizontal="left" vertical="top" wrapText="1"/>
    </xf>
    <xf fontId="3" fillId="0" borderId="3" numFmtId="0" xfId="0" applyFont="1" applyBorder="1" applyAlignment="1">
      <alignment horizontal="center" vertical="top"/>
    </xf>
    <xf fontId="3" fillId="0" borderId="5" numFmtId="0" xfId="0" applyFont="1" applyBorder="1" applyAlignment="1">
      <alignment horizontal="left" vertical="top" wrapText="1"/>
    </xf>
    <xf fontId="3" fillId="0" borderId="2" numFmtId="0" xfId="0" applyFont="1" applyBorder="1" applyAlignment="1">
      <alignment horizontal="left" vertical="top" wrapText="1"/>
    </xf>
    <xf fontId="3" fillId="0" borderId="3" numFmtId="0"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mwpbn.madebymark.n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1" max="1" width="4.8515625"/>
    <col customWidth="1" min="2" max="2" width="71.421875"/>
  </cols>
  <sheetData>
    <row r="2" ht="14.25">
      <c r="B2" s="1" t="s">
        <v>0</v>
      </c>
    </row>
    <row r="3" ht="28.5">
      <c r="B3" s="2" t="s">
        <v>1</v>
      </c>
    </row>
    <row r="5" ht="14.25">
      <c r="B5" s="3" t="s">
        <v>2</v>
      </c>
      <c r="C5" s="4"/>
    </row>
    <row r="6" ht="14.25">
      <c r="B6" s="2" t="s">
        <v>3</v>
      </c>
      <c r="C6" s="4" t="s">
        <v>4</v>
      </c>
    </row>
    <row r="8" ht="14.25">
      <c r="B8" s="1" t="s">
        <v>5</v>
      </c>
    </row>
    <row r="9" ht="28.5">
      <c r="B9" s="2" t="s">
        <v>6</v>
      </c>
    </row>
    <row r="11" ht="14.25">
      <c r="B11" s="1" t="s">
        <v>7</v>
      </c>
    </row>
    <row r="12" ht="14.25">
      <c r="B12" t="s">
        <v>8</v>
      </c>
      <c r="C12" s="4" t="s">
        <v>9</v>
      </c>
    </row>
  </sheetData>
  <hyperlinks>
    <hyperlink r:id="rId1" ref="C6" tooltip=""/>
    <hyperlink location="Dashboard!A1" ref="C12" tooltip=""/>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25"/>
  <cols>
    <col customWidth="1" min="1" max="1" width="4.57421875"/>
  </cols>
  <sheetData>
    <row r="1" s="1" customFormat="1" ht="14.25">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41</v>
      </c>
      <c r="AG1" s="1" t="s">
        <v>42</v>
      </c>
    </row>
    <row r="2" ht="14.25">
      <c r="A2">
        <v>1</v>
      </c>
    </row>
    <row r="3" ht="14.25">
      <c r="A3">
        <v>2</v>
      </c>
    </row>
    <row r="4" ht="14.25">
      <c r="A4">
        <v>3</v>
      </c>
    </row>
    <row r="5" ht="14.25">
      <c r="A5">
        <v>4</v>
      </c>
    </row>
    <row r="6" ht="14.25">
      <c r="A6">
        <v>5</v>
      </c>
    </row>
    <row r="7" ht="14.25">
      <c r="A7">
        <v>6</v>
      </c>
    </row>
    <row r="8" ht="14.25">
      <c r="A8">
        <v>7</v>
      </c>
    </row>
    <row r="9" ht="14.25">
      <c r="A9">
        <v>8</v>
      </c>
    </row>
    <row r="10" ht="14.25">
      <c r="A10">
        <v>9</v>
      </c>
    </row>
    <row r="11" ht="14.25">
      <c r="A11">
        <v>10</v>
      </c>
    </row>
    <row r="12" ht="14.25">
      <c r="A12">
        <v>11</v>
      </c>
    </row>
    <row r="13" ht="14.25">
      <c r="A13">
        <v>12</v>
      </c>
    </row>
    <row r="14" ht="14.25">
      <c r="A14">
        <v>13</v>
      </c>
    </row>
    <row r="15" ht="14.25">
      <c r="A15">
        <v>14</v>
      </c>
    </row>
    <row r="16" ht="14.25">
      <c r="A16">
        <v>15</v>
      </c>
    </row>
    <row r="17" ht="14.25">
      <c r="A17">
        <v>16</v>
      </c>
    </row>
    <row r="18" ht="14.25">
      <c r="A18">
        <v>17</v>
      </c>
    </row>
    <row r="19" ht="14.25">
      <c r="A19">
        <v>18</v>
      </c>
    </row>
    <row r="20" ht="14.25">
      <c r="A20">
        <v>19</v>
      </c>
    </row>
    <row r="21" ht="14.25">
      <c r="A21">
        <v>20</v>
      </c>
    </row>
    <row r="22" ht="14.25">
      <c r="A22">
        <v>21</v>
      </c>
    </row>
    <row r="23" ht="14.25">
      <c r="A23">
        <v>22</v>
      </c>
    </row>
    <row r="24" ht="14.25">
      <c r="A24">
        <v>23</v>
      </c>
    </row>
    <row r="25" ht="14.25">
      <c r="A25">
        <v>24</v>
      </c>
    </row>
    <row r="26" ht="14.25">
      <c r="A26">
        <v>25</v>
      </c>
    </row>
    <row r="27" ht="14.25">
      <c r="A27">
        <v>26</v>
      </c>
    </row>
    <row r="28" ht="14.25">
      <c r="A28">
        <v>27</v>
      </c>
    </row>
    <row r="29" ht="14.25">
      <c r="A29">
        <v>28</v>
      </c>
    </row>
    <row r="30" ht="14.25">
      <c r="A30">
        <v>29</v>
      </c>
    </row>
    <row r="31" ht="14.25">
      <c r="A31">
        <v>30</v>
      </c>
    </row>
    <row r="32" ht="14.25">
      <c r="A32">
        <v>31</v>
      </c>
    </row>
    <row r="33" ht="14.25">
      <c r="A33">
        <v>32</v>
      </c>
    </row>
    <row r="34" ht="14.25">
      <c r="A34">
        <v>33</v>
      </c>
    </row>
    <row r="35" ht="14.25">
      <c r="A35">
        <v>34</v>
      </c>
    </row>
    <row r="36" ht="14.25">
      <c r="A36">
        <v>35</v>
      </c>
    </row>
    <row r="37" ht="14.25">
      <c r="A37">
        <v>36</v>
      </c>
    </row>
    <row r="38" ht="14.25">
      <c r="A38">
        <v>37</v>
      </c>
    </row>
    <row r="39" ht="14.25">
      <c r="A39">
        <v>38</v>
      </c>
    </row>
    <row r="40" ht="14.25">
      <c r="A40">
        <v>39</v>
      </c>
    </row>
    <row r="41" ht="14.25">
      <c r="A41">
        <v>40</v>
      </c>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2" topLeftCell="B3" activePane="bottomRight" state="frozen"/>
      <selection activeCell="A1" activeCellId="0" sqref="A1"/>
    </sheetView>
  </sheetViews>
  <sheetFormatPr defaultRowHeight="14.25"/>
  <cols>
    <col customWidth="1" min="1" max="1" width="4.7109375"/>
    <col customWidth="1" min="2" max="2" width="32.421875"/>
    <col customWidth="1" min="3" max="6" width="12.8515625"/>
    <col customWidth="1" min="7" max="7" width="13.28125"/>
    <col customWidth="1" min="8" max="47" width="3.28125"/>
    <col customWidth="1" min="48" max="48" width="13.28125"/>
    <col customWidth="1" min="49" max="88" width="3.28125"/>
  </cols>
  <sheetData>
    <row r="1" ht="14.25">
      <c r="A1" s="5" t="s">
        <v>11</v>
      </c>
      <c r="B1" s="6"/>
      <c r="C1" s="1" t="s">
        <v>43</v>
      </c>
      <c r="D1" s="6"/>
      <c r="E1" s="6"/>
      <c r="F1" s="6"/>
      <c r="G1" s="1" t="s">
        <v>11</v>
      </c>
      <c r="H1" s="1">
        <v>1</v>
      </c>
      <c r="I1" s="1">
        <v>2</v>
      </c>
      <c r="J1" s="1">
        <v>3</v>
      </c>
      <c r="K1" s="1">
        <v>4</v>
      </c>
      <c r="L1" s="1">
        <v>5</v>
      </c>
      <c r="M1" s="1">
        <v>6</v>
      </c>
      <c r="N1" s="1">
        <v>7</v>
      </c>
      <c r="O1" s="1">
        <v>8</v>
      </c>
      <c r="P1" s="1">
        <v>9</v>
      </c>
      <c r="Q1" s="1">
        <v>10</v>
      </c>
      <c r="R1" s="1">
        <v>11</v>
      </c>
      <c r="S1" s="1">
        <v>12</v>
      </c>
      <c r="T1" s="1">
        <v>13</v>
      </c>
      <c r="U1" s="1">
        <v>14</v>
      </c>
      <c r="V1" s="1">
        <v>15</v>
      </c>
      <c r="W1" s="1">
        <v>16</v>
      </c>
      <c r="X1" s="1">
        <v>17</v>
      </c>
      <c r="Y1" s="1">
        <v>18</v>
      </c>
      <c r="Z1" s="1">
        <v>19</v>
      </c>
      <c r="AA1" s="1">
        <v>20</v>
      </c>
      <c r="AB1" s="1">
        <v>21</v>
      </c>
      <c r="AC1" s="1">
        <v>22</v>
      </c>
      <c r="AD1" s="1">
        <v>23</v>
      </c>
      <c r="AE1" s="1">
        <v>24</v>
      </c>
      <c r="AF1" s="1">
        <v>25</v>
      </c>
      <c r="AG1" s="1">
        <v>26</v>
      </c>
      <c r="AH1" s="1">
        <v>27</v>
      </c>
      <c r="AI1" s="1">
        <v>28</v>
      </c>
      <c r="AJ1" s="1">
        <v>29</v>
      </c>
      <c r="AK1" s="1">
        <v>30</v>
      </c>
      <c r="AL1" s="1">
        <v>31</v>
      </c>
      <c r="AM1" s="1">
        <v>32</v>
      </c>
      <c r="AN1" s="1">
        <v>33</v>
      </c>
      <c r="AO1" s="1">
        <v>34</v>
      </c>
      <c r="AP1" s="1">
        <v>35</v>
      </c>
      <c r="AQ1" s="1">
        <v>36</v>
      </c>
      <c r="AR1" s="1">
        <v>37</v>
      </c>
      <c r="AS1" s="1">
        <v>38</v>
      </c>
      <c r="AT1" s="1">
        <v>39</v>
      </c>
      <c r="AU1" s="1">
        <v>40</v>
      </c>
      <c r="AV1" s="1" t="s">
        <v>11</v>
      </c>
      <c r="AW1" s="1">
        <v>1</v>
      </c>
      <c r="AX1" s="1">
        <v>2</v>
      </c>
      <c r="AY1" s="1">
        <v>3</v>
      </c>
      <c r="AZ1" s="1">
        <v>4</v>
      </c>
      <c r="BA1" s="1">
        <v>5</v>
      </c>
      <c r="BB1" s="1">
        <v>6</v>
      </c>
      <c r="BC1" s="1">
        <v>7</v>
      </c>
      <c r="BD1" s="1">
        <v>8</v>
      </c>
      <c r="BE1" s="1">
        <v>9</v>
      </c>
      <c r="BF1" s="1">
        <v>10</v>
      </c>
      <c r="BG1" s="1">
        <v>11</v>
      </c>
      <c r="BH1" s="1">
        <v>12</v>
      </c>
      <c r="BI1" s="1">
        <v>13</v>
      </c>
      <c r="BJ1" s="1">
        <v>14</v>
      </c>
      <c r="BK1" s="1">
        <v>15</v>
      </c>
      <c r="BL1" s="1">
        <v>16</v>
      </c>
      <c r="BM1" s="1">
        <v>17</v>
      </c>
      <c r="BN1" s="1">
        <v>18</v>
      </c>
      <c r="BO1" s="1">
        <v>19</v>
      </c>
      <c r="BP1" s="1">
        <v>20</v>
      </c>
      <c r="BQ1" s="1">
        <v>21</v>
      </c>
      <c r="BR1" s="1">
        <v>22</v>
      </c>
      <c r="BS1" s="1">
        <v>23</v>
      </c>
      <c r="BT1" s="1">
        <v>24</v>
      </c>
      <c r="BU1" s="1">
        <v>25</v>
      </c>
      <c r="BV1" s="1">
        <v>26</v>
      </c>
      <c r="BW1" s="1">
        <v>27</v>
      </c>
      <c r="BX1" s="1">
        <v>28</v>
      </c>
      <c r="BY1" s="1">
        <v>29</v>
      </c>
      <c r="BZ1" s="1">
        <v>30</v>
      </c>
      <c r="CA1" s="1">
        <v>31</v>
      </c>
      <c r="CB1" s="1">
        <v>32</v>
      </c>
      <c r="CC1" s="1">
        <v>33</v>
      </c>
      <c r="CD1" s="1">
        <v>34</v>
      </c>
      <c r="CE1" s="1">
        <v>35</v>
      </c>
      <c r="CF1" s="1">
        <v>36</v>
      </c>
      <c r="CG1" s="1">
        <v>37</v>
      </c>
      <c r="CH1" s="1">
        <v>38</v>
      </c>
      <c r="CI1" s="1">
        <v>39</v>
      </c>
      <c r="CJ1" s="1">
        <v>40</v>
      </c>
    </row>
    <row r="2" ht="14.25">
      <c r="A2" s="5" t="s">
        <v>44</v>
      </c>
      <c r="B2" s="6"/>
      <c r="C2" s="1"/>
      <c r="D2" s="6"/>
      <c r="E2" s="6"/>
      <c r="F2" s="6"/>
      <c r="G2" s="1" t="s">
        <v>45</v>
      </c>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t="s">
        <v>45</v>
      </c>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row>
    <row r="3" ht="14.25">
      <c r="A3" s="1" t="s">
        <v>10</v>
      </c>
      <c r="B3" s="1" t="s">
        <v>46</v>
      </c>
      <c r="C3" s="1" t="s">
        <v>47</v>
      </c>
      <c r="D3" s="1" t="s">
        <v>48</v>
      </c>
      <c r="E3" s="1" t="s">
        <v>49</v>
      </c>
      <c r="F3" s="1" t="s">
        <v>50</v>
      </c>
      <c r="G3" s="1" t="s">
        <v>51</v>
      </c>
      <c r="H3" s="6">
        <f>COUNTIF(H4:H45,"&gt;=2")</f>
        <v>0</v>
      </c>
      <c r="I3" s="6">
        <f>COUNTIF(I4:I45,"&gt;=2")</f>
        <v>0</v>
      </c>
      <c r="J3" s="6">
        <f>COUNTIF(J4:J45,"&gt;=2")</f>
        <v>0</v>
      </c>
      <c r="K3" s="6">
        <f>COUNTIF(K4:K45,"&gt;=2")</f>
        <v>0</v>
      </c>
      <c r="L3" s="6">
        <f>COUNTIF(L4:L45,"&gt;=2")</f>
        <v>0</v>
      </c>
      <c r="M3" s="6">
        <f>COUNTIF(M4:M45,"&gt;=2")</f>
        <v>0</v>
      </c>
      <c r="N3" s="6">
        <f>COUNTIF(N4:N45,"&gt;=2")</f>
        <v>0</v>
      </c>
      <c r="O3" s="6">
        <f>COUNTIF(O4:O45,"&gt;=2")</f>
        <v>0</v>
      </c>
      <c r="P3" s="6">
        <f>COUNTIF(P4:P45,"&gt;=2")</f>
        <v>0</v>
      </c>
      <c r="Q3" s="6">
        <f>COUNTIF(Q4:Q45,"&gt;=2")</f>
        <v>0</v>
      </c>
      <c r="R3" s="6">
        <f>COUNTIF(R4:R45,"&gt;=2")</f>
        <v>0</v>
      </c>
      <c r="S3" s="6">
        <f>COUNTIF(S4:S45,"&gt;=2")</f>
        <v>0</v>
      </c>
      <c r="T3" s="6">
        <f>COUNTIF(T4:T45,"&gt;=2")</f>
        <v>0</v>
      </c>
      <c r="U3" s="6">
        <f>COUNTIF(U4:U45,"&gt;=2")</f>
        <v>0</v>
      </c>
      <c r="V3" s="6">
        <f>COUNTIF(V4:V45,"&gt;=2")</f>
        <v>0</v>
      </c>
      <c r="W3" s="6">
        <f>COUNTIF(W4:W45,"&gt;=2")</f>
        <v>0</v>
      </c>
      <c r="X3" s="6">
        <f>COUNTIF(X4:X45,"&gt;=2")</f>
        <v>0</v>
      </c>
      <c r="Y3" s="6">
        <f>COUNTIF(Y4:Y45,"&gt;=2")</f>
        <v>0</v>
      </c>
      <c r="Z3" s="6">
        <f>COUNTIF(Z4:Z45,"&gt;=2")</f>
        <v>0</v>
      </c>
      <c r="AA3" s="6">
        <f>COUNTIF(AA4:AA45,"&gt;=2")</f>
        <v>0</v>
      </c>
      <c r="AB3" s="6">
        <f>COUNTIF(AB4:AB45,"&gt;=2")</f>
        <v>0</v>
      </c>
      <c r="AC3" s="6">
        <f>COUNTIF(AC4:AC45,"&gt;=2")</f>
        <v>0</v>
      </c>
      <c r="AD3" s="6">
        <f>COUNTIF(AD4:AD45,"&gt;=2")</f>
        <v>0</v>
      </c>
      <c r="AE3" s="6">
        <f>COUNTIF(AE4:AE45,"&gt;=2")</f>
        <v>0</v>
      </c>
      <c r="AF3" s="6">
        <f>COUNTIF(AF4:AF45,"&gt;=2")</f>
        <v>0</v>
      </c>
      <c r="AG3" s="6">
        <f>COUNTIF(AG4:AG45,"&gt;=2")</f>
        <v>0</v>
      </c>
      <c r="AH3" s="6">
        <f>COUNTIF(AH4:AH45,"&gt;=2")</f>
        <v>0</v>
      </c>
      <c r="AI3" s="6">
        <f>COUNTIF(AI4:AI45,"&gt;=2")</f>
        <v>0</v>
      </c>
      <c r="AJ3" s="6">
        <f>COUNTIF(AJ4:AJ45,"&gt;=2")</f>
        <v>0</v>
      </c>
      <c r="AK3" s="6">
        <f>COUNTIF(AK4:AK45,"&gt;=2")</f>
        <v>0</v>
      </c>
      <c r="AL3" s="6">
        <f>COUNTIF(AL4:AL45,"&gt;=2")</f>
        <v>0</v>
      </c>
      <c r="AM3" s="6">
        <f>COUNTIF(AM4:AM45,"&gt;=2")</f>
        <v>0</v>
      </c>
      <c r="AN3" s="6">
        <f>COUNTIF(AN4:AN45,"&gt;=2")</f>
        <v>0</v>
      </c>
      <c r="AO3" s="6">
        <f>COUNTIF(AO4:AO45,"&gt;=2")</f>
        <v>0</v>
      </c>
      <c r="AP3" s="6">
        <f>COUNTIF(AP4:AP45,"&gt;=2")</f>
        <v>0</v>
      </c>
      <c r="AQ3" s="6">
        <f>COUNTIF(AQ4:AQ45,"&gt;=2")</f>
        <v>0</v>
      </c>
      <c r="AR3" s="6">
        <f>COUNTIF(AR4:AR45,"&gt;=2")</f>
        <v>0</v>
      </c>
      <c r="AS3" s="6">
        <f>COUNTIF(AS4:AS45,"&gt;=2")</f>
        <v>0</v>
      </c>
      <c r="AT3" s="6">
        <f>COUNTIF(AT4:AT45,"&gt;=2")</f>
        <v>0</v>
      </c>
      <c r="AU3" s="6">
        <f>COUNTIF(AU4:AU45,"&gt;=2")</f>
        <v>0</v>
      </c>
      <c r="AV3" s="1" t="s">
        <v>0</v>
      </c>
      <c r="AW3" s="6">
        <f>COUNTA(AW4:AW45)</f>
        <v>0</v>
      </c>
      <c r="AX3" s="6">
        <f>COUNTA(AX4:AX45)</f>
        <v>0</v>
      </c>
      <c r="AY3" s="6">
        <f>COUNTA(AY4:AY45)</f>
        <v>0</v>
      </c>
      <c r="AZ3" s="6">
        <f>COUNTA(AZ4:AZ45)</f>
        <v>0</v>
      </c>
      <c r="BA3" s="6">
        <f>COUNTA(BA4:BA45)</f>
        <v>0</v>
      </c>
      <c r="BB3" s="6">
        <f>COUNTA(BB4:BB45)</f>
        <v>0</v>
      </c>
      <c r="BC3" s="6">
        <f>COUNTA(BC4:BC45)</f>
        <v>0</v>
      </c>
      <c r="BD3" s="6">
        <f>COUNTA(BD4:BD45)</f>
        <v>0</v>
      </c>
      <c r="BE3" s="6">
        <f>COUNTA(BE4:BE45)</f>
        <v>0</v>
      </c>
      <c r="BF3" s="6">
        <f>COUNTA(BF4:BF45)</f>
        <v>0</v>
      </c>
      <c r="BG3" s="6">
        <f>COUNTA(BG4:BG45)</f>
        <v>0</v>
      </c>
      <c r="BH3" s="6">
        <f>COUNTA(BH4:BH45)</f>
        <v>0</v>
      </c>
      <c r="BI3" s="6">
        <f>COUNTA(BI4:BI45)</f>
        <v>0</v>
      </c>
      <c r="BJ3" s="6">
        <f>COUNTA(BJ4:BJ45)</f>
        <v>0</v>
      </c>
      <c r="BK3" s="6">
        <f>COUNTA(BK4:BK45)</f>
        <v>0</v>
      </c>
      <c r="BL3" s="6">
        <f>COUNTA(BL4:BL45)</f>
        <v>0</v>
      </c>
      <c r="BM3" s="6">
        <f>COUNTA(BM4:BM45)</f>
        <v>0</v>
      </c>
      <c r="BN3" s="6">
        <f>COUNTA(BN4:BN45)</f>
        <v>0</v>
      </c>
      <c r="BO3" s="6">
        <f>COUNTA(BO4:BO45)</f>
        <v>0</v>
      </c>
      <c r="BP3" s="6">
        <f>COUNTA(BP4:BP45)</f>
        <v>0</v>
      </c>
      <c r="BQ3" s="6">
        <f>COUNTA(BQ4:BQ45)</f>
        <v>0</v>
      </c>
      <c r="BR3" s="6">
        <f>COUNTA(BR4:BR45)</f>
        <v>0</v>
      </c>
      <c r="BS3" s="6">
        <f>COUNTA(BS4:BS45)</f>
        <v>0</v>
      </c>
      <c r="BT3" s="6">
        <f>COUNTA(BT4:BT45)</f>
        <v>0</v>
      </c>
      <c r="BU3" s="6">
        <f>COUNTA(BU4:BU45)</f>
        <v>0</v>
      </c>
      <c r="BV3" s="6">
        <f>COUNTA(BV4:BV45)</f>
        <v>0</v>
      </c>
      <c r="BW3" s="6">
        <f>COUNTA(BW4:BW45)</f>
        <v>0</v>
      </c>
      <c r="BX3" s="6">
        <f>COUNTA(BX4:BX45)</f>
        <v>0</v>
      </c>
      <c r="BY3" s="6">
        <f>COUNTA(BY4:BY45)</f>
        <v>0</v>
      </c>
      <c r="BZ3" s="6">
        <f>COUNTA(BZ4:BZ45)</f>
        <v>0</v>
      </c>
      <c r="CA3" s="6">
        <f>COUNTA(CA4:CA45)</f>
        <v>0</v>
      </c>
      <c r="CB3" s="6">
        <f>COUNTA(CB4:CB45)</f>
        <v>0</v>
      </c>
      <c r="CC3" s="6">
        <f>COUNTA(CC4:CC45)</f>
        <v>0</v>
      </c>
      <c r="CD3" s="6">
        <f>COUNTA(CD4:CD45)</f>
        <v>0</v>
      </c>
      <c r="CE3" s="6">
        <f>COUNTA(CE4:CE45)</f>
        <v>0</v>
      </c>
      <c r="CF3" s="6">
        <f>COUNTA(CF4:CF45)</f>
        <v>0</v>
      </c>
      <c r="CG3" s="6">
        <f>COUNTA(CG4:CG45)</f>
        <v>0</v>
      </c>
      <c r="CH3" s="6">
        <f>COUNTA(CH4:CH45)</f>
        <v>0</v>
      </c>
      <c r="CI3" s="6">
        <f>COUNTA(CI4:CI45)</f>
        <v>0</v>
      </c>
      <c r="CJ3" s="6">
        <f>COUNTA(CJ4:CJ45)</f>
        <v>0</v>
      </c>
    </row>
    <row r="4" ht="14.25">
      <c r="A4" s="6">
        <v>1</v>
      </c>
      <c r="B4" s="6" t="s">
        <v>52</v>
      </c>
      <c r="C4" s="6">
        <f t="shared" ref="C4:C9" si="0">COUNTIF($H4:$AU4,"=0")</f>
        <v>0</v>
      </c>
      <c r="D4" s="6">
        <f t="shared" ref="D4:D9" si="1">COUNTIF($H4:$AU4,"=1")</f>
        <v>0</v>
      </c>
      <c r="E4" s="6">
        <f t="shared" ref="E4:E9" si="2">COUNTIF($H4:$AU4,"=2")</f>
        <v>0</v>
      </c>
      <c r="F4" s="6">
        <f t="shared" ref="F4:F9" si="3">COUNTIF($H4:$AU4,"=3")</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row>
    <row r="5" ht="14.25">
      <c r="A5">
        <v>2</v>
      </c>
      <c r="B5" t="s">
        <v>53</v>
      </c>
      <c r="C5" s="6">
        <f t="shared" si="0"/>
        <v>0</v>
      </c>
      <c r="D5" s="6">
        <f t="shared" si="1"/>
        <v>0</v>
      </c>
      <c r="E5" s="6">
        <f t="shared" si="2"/>
        <v>0</v>
      </c>
      <c r="F5" s="6">
        <f t="shared" si="3"/>
        <v>0</v>
      </c>
    </row>
    <row r="6" ht="14.25">
      <c r="A6">
        <v>3</v>
      </c>
      <c r="B6" t="s">
        <v>54</v>
      </c>
      <c r="C6" s="6">
        <f t="shared" si="0"/>
        <v>0</v>
      </c>
      <c r="D6" s="6">
        <f t="shared" si="1"/>
        <v>0</v>
      </c>
      <c r="E6" s="6">
        <f t="shared" si="2"/>
        <v>0</v>
      </c>
      <c r="F6" s="6">
        <f t="shared" si="3"/>
        <v>0</v>
      </c>
    </row>
    <row r="7" ht="14.25">
      <c r="A7">
        <v>4</v>
      </c>
      <c r="B7" t="s">
        <v>55</v>
      </c>
      <c r="C7" s="6">
        <f t="shared" si="0"/>
        <v>0</v>
      </c>
      <c r="D7" s="6">
        <f t="shared" si="1"/>
        <v>0</v>
      </c>
      <c r="E7" s="6">
        <f t="shared" si="2"/>
        <v>0</v>
      </c>
      <c r="F7" s="6">
        <f t="shared" si="3"/>
        <v>0</v>
      </c>
    </row>
    <row r="8" ht="14.25">
      <c r="A8">
        <v>5</v>
      </c>
      <c r="B8" t="s">
        <v>56</v>
      </c>
      <c r="C8" s="6">
        <f t="shared" si="0"/>
        <v>0</v>
      </c>
      <c r="D8" s="6">
        <f t="shared" si="1"/>
        <v>0</v>
      </c>
      <c r="E8" s="6">
        <f t="shared" si="2"/>
        <v>0</v>
      </c>
      <c r="F8" s="6">
        <f t="shared" si="3"/>
        <v>0</v>
      </c>
    </row>
    <row r="9" ht="14.25">
      <c r="A9">
        <v>6</v>
      </c>
      <c r="B9" t="s">
        <v>57</v>
      </c>
      <c r="C9" s="6">
        <f t="shared" si="0"/>
        <v>0</v>
      </c>
      <c r="D9" s="6">
        <f t="shared" si="1"/>
        <v>0</v>
      </c>
      <c r="E9" s="6">
        <f t="shared" si="2"/>
        <v>0</v>
      </c>
      <c r="F9" s="6">
        <f t="shared" si="3"/>
        <v>0</v>
      </c>
    </row>
    <row r="10" ht="14.25">
      <c r="A10">
        <v>7</v>
      </c>
      <c r="B10" t="s">
        <v>58</v>
      </c>
      <c r="C10" s="6">
        <f t="shared" ref="C10:C45" si="4">COUNTIF($H10:$AU10,"=0")</f>
        <v>0</v>
      </c>
      <c r="D10" s="6">
        <f t="shared" ref="D10:D45" si="5">COUNTIF($H10:$AU10,"=1")</f>
        <v>0</v>
      </c>
      <c r="E10" s="6">
        <f t="shared" ref="E10:E45" si="6">COUNTIF($H10:$AU10,"=2")</f>
        <v>0</v>
      </c>
      <c r="F10" s="6">
        <f t="shared" ref="F10:F45" si="7">COUNTIF($H10:$AU10,"=3")</f>
        <v>0</v>
      </c>
    </row>
    <row r="11" ht="14.25">
      <c r="A11">
        <v>8</v>
      </c>
      <c r="B11" t="s">
        <v>59</v>
      </c>
      <c r="C11" s="6">
        <f t="shared" si="4"/>
        <v>0</v>
      </c>
      <c r="D11" s="6">
        <f t="shared" si="5"/>
        <v>0</v>
      </c>
      <c r="E11" s="6">
        <f t="shared" si="6"/>
        <v>0</v>
      </c>
      <c r="F11" s="6">
        <f t="shared" si="7"/>
        <v>0</v>
      </c>
    </row>
    <row r="12" ht="14.25">
      <c r="A12">
        <v>9</v>
      </c>
      <c r="B12" t="s">
        <v>60</v>
      </c>
      <c r="C12" s="6">
        <f t="shared" si="4"/>
        <v>0</v>
      </c>
      <c r="D12" s="6">
        <f t="shared" si="5"/>
        <v>0</v>
      </c>
      <c r="E12" s="6">
        <f t="shared" si="6"/>
        <v>0</v>
      </c>
      <c r="F12" s="6">
        <f t="shared" si="7"/>
        <v>0</v>
      </c>
    </row>
    <row r="13" ht="14.25">
      <c r="A13">
        <v>10</v>
      </c>
      <c r="B13" t="s">
        <v>61</v>
      </c>
      <c r="C13" s="6">
        <f t="shared" si="4"/>
        <v>0</v>
      </c>
      <c r="D13" s="6">
        <f t="shared" si="5"/>
        <v>0</v>
      </c>
      <c r="E13" s="6">
        <f t="shared" si="6"/>
        <v>0</v>
      </c>
      <c r="F13" s="6">
        <f t="shared" si="7"/>
        <v>0</v>
      </c>
    </row>
    <row r="14" ht="14.25">
      <c r="A14">
        <v>11</v>
      </c>
      <c r="B14" t="s">
        <v>62</v>
      </c>
      <c r="C14" s="6">
        <f t="shared" si="4"/>
        <v>0</v>
      </c>
      <c r="D14" s="6">
        <f t="shared" si="5"/>
        <v>0</v>
      </c>
      <c r="E14" s="6">
        <f t="shared" si="6"/>
        <v>0</v>
      </c>
      <c r="F14" s="6">
        <f t="shared" si="7"/>
        <v>0</v>
      </c>
    </row>
    <row r="15" ht="14.25">
      <c r="A15">
        <v>12</v>
      </c>
      <c r="B15" t="s">
        <v>63</v>
      </c>
      <c r="C15" s="6">
        <f t="shared" si="4"/>
        <v>0</v>
      </c>
      <c r="D15" s="6">
        <f t="shared" si="5"/>
        <v>0</v>
      </c>
      <c r="E15" s="6">
        <f t="shared" si="6"/>
        <v>0</v>
      </c>
      <c r="F15" s="6">
        <f t="shared" si="7"/>
        <v>0</v>
      </c>
    </row>
    <row r="16" ht="14.25">
      <c r="A16">
        <v>13</v>
      </c>
      <c r="B16" t="s">
        <v>64</v>
      </c>
      <c r="C16" s="6">
        <f t="shared" si="4"/>
        <v>0</v>
      </c>
      <c r="D16" s="6">
        <f t="shared" si="5"/>
        <v>0</v>
      </c>
      <c r="E16" s="6">
        <f t="shared" si="6"/>
        <v>0</v>
      </c>
      <c r="F16" s="6">
        <f t="shared" si="7"/>
        <v>0</v>
      </c>
    </row>
    <row r="17" ht="14.25">
      <c r="A17">
        <v>14</v>
      </c>
      <c r="B17" t="s">
        <v>65</v>
      </c>
      <c r="C17" s="6">
        <f t="shared" si="4"/>
        <v>0</v>
      </c>
      <c r="D17" s="6">
        <f t="shared" si="5"/>
        <v>0</v>
      </c>
      <c r="E17" s="6">
        <f t="shared" si="6"/>
        <v>0</v>
      </c>
      <c r="F17" s="6">
        <f t="shared" si="7"/>
        <v>0</v>
      </c>
    </row>
    <row r="18" ht="14.25">
      <c r="A18">
        <v>15</v>
      </c>
      <c r="B18" t="s">
        <v>66</v>
      </c>
      <c r="C18" s="6">
        <f t="shared" si="4"/>
        <v>0</v>
      </c>
      <c r="D18" s="6">
        <f t="shared" si="5"/>
        <v>0</v>
      </c>
      <c r="E18" s="6">
        <f t="shared" si="6"/>
        <v>0</v>
      </c>
      <c r="F18" s="6">
        <f t="shared" si="7"/>
        <v>0</v>
      </c>
    </row>
    <row r="19" ht="14.25">
      <c r="A19">
        <v>16</v>
      </c>
      <c r="B19" t="s">
        <v>67</v>
      </c>
      <c r="C19" s="6">
        <f t="shared" si="4"/>
        <v>0</v>
      </c>
      <c r="D19" s="6">
        <f t="shared" si="5"/>
        <v>0</v>
      </c>
      <c r="E19" s="6">
        <f t="shared" si="6"/>
        <v>0</v>
      </c>
      <c r="F19" s="6">
        <f t="shared" si="7"/>
        <v>0</v>
      </c>
    </row>
    <row r="20" ht="14.25">
      <c r="A20">
        <v>17</v>
      </c>
      <c r="B20" t="s">
        <v>68</v>
      </c>
      <c r="C20" s="6">
        <f t="shared" si="4"/>
        <v>0</v>
      </c>
      <c r="D20" s="6">
        <f t="shared" si="5"/>
        <v>0</v>
      </c>
      <c r="E20" s="6">
        <f t="shared" si="6"/>
        <v>0</v>
      </c>
      <c r="F20" s="6">
        <f t="shared" si="7"/>
        <v>0</v>
      </c>
    </row>
    <row r="21" ht="14.25">
      <c r="A21">
        <v>18</v>
      </c>
      <c r="B21" t="s">
        <v>69</v>
      </c>
      <c r="C21" s="6">
        <f t="shared" si="4"/>
        <v>0</v>
      </c>
      <c r="D21" s="6">
        <f t="shared" si="5"/>
        <v>0</v>
      </c>
      <c r="E21" s="6">
        <f t="shared" si="6"/>
        <v>0</v>
      </c>
      <c r="F21" s="6">
        <f t="shared" si="7"/>
        <v>0</v>
      </c>
    </row>
    <row r="22" ht="14.25">
      <c r="A22">
        <v>19</v>
      </c>
      <c r="B22" t="s">
        <v>70</v>
      </c>
      <c r="C22" s="6">
        <f t="shared" si="4"/>
        <v>0</v>
      </c>
      <c r="D22" s="6">
        <f t="shared" si="5"/>
        <v>0</v>
      </c>
      <c r="E22" s="6">
        <f t="shared" si="6"/>
        <v>0</v>
      </c>
      <c r="F22" s="6">
        <f t="shared" si="7"/>
        <v>0</v>
      </c>
    </row>
    <row r="23" ht="14.25">
      <c r="A23">
        <v>20</v>
      </c>
      <c r="B23" t="s">
        <v>71</v>
      </c>
      <c r="C23" s="6">
        <f t="shared" si="4"/>
        <v>0</v>
      </c>
      <c r="D23" s="6">
        <f t="shared" si="5"/>
        <v>0</v>
      </c>
      <c r="E23" s="6">
        <f t="shared" si="6"/>
        <v>0</v>
      </c>
      <c r="F23" s="6">
        <f t="shared" si="7"/>
        <v>0</v>
      </c>
    </row>
    <row r="24" ht="14.25">
      <c r="A24">
        <v>21</v>
      </c>
      <c r="B24" t="s">
        <v>72</v>
      </c>
      <c r="C24" s="6">
        <f t="shared" si="4"/>
        <v>0</v>
      </c>
      <c r="D24" s="6">
        <f t="shared" si="5"/>
        <v>0</v>
      </c>
      <c r="E24" s="6">
        <f t="shared" si="6"/>
        <v>0</v>
      </c>
      <c r="F24" s="6">
        <f t="shared" si="7"/>
        <v>0</v>
      </c>
    </row>
    <row r="25" ht="14.25">
      <c r="A25">
        <v>22</v>
      </c>
      <c r="B25" t="s">
        <v>73</v>
      </c>
      <c r="C25" s="6">
        <f t="shared" si="4"/>
        <v>0</v>
      </c>
      <c r="D25" s="6">
        <f t="shared" si="5"/>
        <v>0</v>
      </c>
      <c r="E25" s="6">
        <f t="shared" si="6"/>
        <v>0</v>
      </c>
      <c r="F25" s="6">
        <f t="shared" si="7"/>
        <v>0</v>
      </c>
    </row>
    <row r="26" ht="14.25">
      <c r="A26">
        <v>23</v>
      </c>
      <c r="B26" t="s">
        <v>74</v>
      </c>
      <c r="C26" s="6">
        <f t="shared" si="4"/>
        <v>0</v>
      </c>
      <c r="D26" s="6">
        <f t="shared" si="5"/>
        <v>0</v>
      </c>
      <c r="E26" s="6">
        <f t="shared" si="6"/>
        <v>0</v>
      </c>
      <c r="F26" s="6">
        <f t="shared" si="7"/>
        <v>0</v>
      </c>
    </row>
    <row r="27" ht="14.25">
      <c r="A27">
        <v>24</v>
      </c>
      <c r="B27" t="s">
        <v>75</v>
      </c>
      <c r="C27" s="6">
        <f t="shared" si="4"/>
        <v>0</v>
      </c>
      <c r="D27" s="6">
        <f t="shared" si="5"/>
        <v>0</v>
      </c>
      <c r="E27" s="6">
        <f t="shared" si="6"/>
        <v>0</v>
      </c>
      <c r="F27" s="6">
        <f t="shared" si="7"/>
        <v>0</v>
      </c>
    </row>
    <row r="28" ht="14.25">
      <c r="A28">
        <v>25</v>
      </c>
      <c r="B28" t="s">
        <v>76</v>
      </c>
      <c r="C28" s="6">
        <f t="shared" si="4"/>
        <v>0</v>
      </c>
      <c r="D28" s="6">
        <f t="shared" si="5"/>
        <v>0</v>
      </c>
      <c r="E28" s="6">
        <f t="shared" si="6"/>
        <v>0</v>
      </c>
      <c r="F28" s="6">
        <f t="shared" si="7"/>
        <v>0</v>
      </c>
    </row>
    <row r="29" ht="14.25">
      <c r="A29">
        <v>26</v>
      </c>
      <c r="B29" t="s">
        <v>77</v>
      </c>
      <c r="C29" s="6">
        <f t="shared" si="4"/>
        <v>0</v>
      </c>
      <c r="D29" s="6">
        <f t="shared" si="5"/>
        <v>0</v>
      </c>
      <c r="E29" s="6">
        <f t="shared" si="6"/>
        <v>0</v>
      </c>
      <c r="F29" s="6">
        <f t="shared" si="7"/>
        <v>0</v>
      </c>
    </row>
    <row r="30" ht="14.25">
      <c r="A30">
        <v>27</v>
      </c>
      <c r="B30" t="s">
        <v>78</v>
      </c>
      <c r="C30" s="6">
        <f t="shared" si="4"/>
        <v>0</v>
      </c>
      <c r="D30" s="6">
        <f t="shared" si="5"/>
        <v>0</v>
      </c>
      <c r="E30" s="6">
        <f t="shared" si="6"/>
        <v>0</v>
      </c>
      <c r="F30" s="6">
        <f t="shared" si="7"/>
        <v>0</v>
      </c>
    </row>
    <row r="31" ht="14.25">
      <c r="A31">
        <v>28</v>
      </c>
      <c r="B31" t="s">
        <v>79</v>
      </c>
      <c r="C31" s="6">
        <f t="shared" si="4"/>
        <v>0</v>
      </c>
      <c r="D31" s="6">
        <f t="shared" si="5"/>
        <v>0</v>
      </c>
      <c r="E31" s="6">
        <f t="shared" si="6"/>
        <v>0</v>
      </c>
      <c r="F31" s="6">
        <f t="shared" si="7"/>
        <v>0</v>
      </c>
    </row>
    <row r="32" ht="14.25">
      <c r="A32">
        <v>29</v>
      </c>
      <c r="B32" t="s">
        <v>80</v>
      </c>
      <c r="C32" s="6">
        <f t="shared" si="4"/>
        <v>0</v>
      </c>
      <c r="D32" s="6">
        <f t="shared" si="5"/>
        <v>0</v>
      </c>
      <c r="E32" s="6">
        <f t="shared" si="6"/>
        <v>0</v>
      </c>
      <c r="F32" s="6">
        <f t="shared" si="7"/>
        <v>0</v>
      </c>
    </row>
    <row r="33" ht="14.25">
      <c r="A33">
        <v>30</v>
      </c>
      <c r="B33" t="s">
        <v>81</v>
      </c>
      <c r="C33" s="6">
        <f t="shared" si="4"/>
        <v>0</v>
      </c>
      <c r="D33" s="6">
        <f t="shared" si="5"/>
        <v>0</v>
      </c>
      <c r="E33" s="6">
        <f t="shared" si="6"/>
        <v>0</v>
      </c>
      <c r="F33" s="6">
        <f t="shared" si="7"/>
        <v>0</v>
      </c>
    </row>
    <row r="34" ht="14.25">
      <c r="A34">
        <v>31</v>
      </c>
      <c r="B34" t="s">
        <v>82</v>
      </c>
      <c r="C34" s="6">
        <f t="shared" si="4"/>
        <v>0</v>
      </c>
      <c r="D34" s="6">
        <f t="shared" si="5"/>
        <v>0</v>
      </c>
      <c r="E34" s="6">
        <f t="shared" si="6"/>
        <v>0</v>
      </c>
      <c r="F34" s="6">
        <f t="shared" si="7"/>
        <v>0</v>
      </c>
    </row>
    <row r="35" ht="14.25">
      <c r="A35">
        <v>32</v>
      </c>
      <c r="B35" t="s">
        <v>83</v>
      </c>
      <c r="C35" s="6">
        <f t="shared" si="4"/>
        <v>0</v>
      </c>
      <c r="D35" s="6">
        <f t="shared" si="5"/>
        <v>0</v>
      </c>
      <c r="E35" s="6">
        <f t="shared" si="6"/>
        <v>0</v>
      </c>
      <c r="F35" s="6">
        <f t="shared" si="7"/>
        <v>0</v>
      </c>
    </row>
    <row r="36" ht="14.25">
      <c r="A36">
        <v>33</v>
      </c>
      <c r="B36" t="s">
        <v>84</v>
      </c>
      <c r="C36" s="6">
        <f t="shared" si="4"/>
        <v>0</v>
      </c>
      <c r="D36" s="6">
        <f t="shared" si="5"/>
        <v>0</v>
      </c>
      <c r="E36" s="6">
        <f t="shared" si="6"/>
        <v>0</v>
      </c>
      <c r="F36" s="6">
        <f t="shared" si="7"/>
        <v>0</v>
      </c>
    </row>
    <row r="37" ht="14.25">
      <c r="A37">
        <v>34</v>
      </c>
      <c r="B37" t="s">
        <v>85</v>
      </c>
      <c r="C37" s="6">
        <f t="shared" si="4"/>
        <v>0</v>
      </c>
      <c r="D37" s="6">
        <f t="shared" si="5"/>
        <v>0</v>
      </c>
      <c r="E37" s="6">
        <f t="shared" si="6"/>
        <v>0</v>
      </c>
      <c r="F37" s="6">
        <f t="shared" si="7"/>
        <v>0</v>
      </c>
    </row>
    <row r="38" ht="14.25">
      <c r="A38">
        <v>35</v>
      </c>
      <c r="B38" t="s">
        <v>86</v>
      </c>
      <c r="C38" s="6">
        <f t="shared" si="4"/>
        <v>0</v>
      </c>
      <c r="D38" s="6">
        <f t="shared" si="5"/>
        <v>0</v>
      </c>
      <c r="E38" s="6">
        <f t="shared" si="6"/>
        <v>0</v>
      </c>
      <c r="F38" s="6">
        <f t="shared" si="7"/>
        <v>0</v>
      </c>
    </row>
    <row r="39" ht="14.25">
      <c r="A39">
        <v>36</v>
      </c>
      <c r="B39" t="s">
        <v>87</v>
      </c>
      <c r="C39" s="6">
        <f t="shared" si="4"/>
        <v>0</v>
      </c>
      <c r="D39" s="6">
        <f t="shared" si="5"/>
        <v>0</v>
      </c>
      <c r="E39" s="6">
        <f t="shared" si="6"/>
        <v>0</v>
      </c>
      <c r="F39" s="6">
        <f t="shared" si="7"/>
        <v>0</v>
      </c>
    </row>
    <row r="40" ht="14.25">
      <c r="A40">
        <v>37</v>
      </c>
      <c r="B40" t="s">
        <v>88</v>
      </c>
      <c r="C40" s="6">
        <f t="shared" si="4"/>
        <v>0</v>
      </c>
      <c r="D40" s="6">
        <f t="shared" si="5"/>
        <v>0</v>
      </c>
      <c r="E40" s="6">
        <f t="shared" si="6"/>
        <v>0</v>
      </c>
      <c r="F40" s="6">
        <f t="shared" si="7"/>
        <v>0</v>
      </c>
    </row>
    <row r="41" ht="14.25">
      <c r="A41">
        <v>38</v>
      </c>
      <c r="B41" t="s">
        <v>89</v>
      </c>
      <c r="C41" s="6">
        <f t="shared" si="4"/>
        <v>0</v>
      </c>
      <c r="D41" s="6">
        <f t="shared" si="5"/>
        <v>0</v>
      </c>
      <c r="E41" s="6">
        <f t="shared" si="6"/>
        <v>0</v>
      </c>
      <c r="F41" s="6">
        <f t="shared" si="7"/>
        <v>0</v>
      </c>
    </row>
    <row r="42" ht="14.25">
      <c r="A42">
        <v>39</v>
      </c>
      <c r="B42" t="s">
        <v>90</v>
      </c>
      <c r="C42" s="6">
        <f t="shared" si="4"/>
        <v>0</v>
      </c>
      <c r="D42" s="6">
        <f t="shared" si="5"/>
        <v>0</v>
      </c>
      <c r="E42" s="6">
        <f t="shared" si="6"/>
        <v>0</v>
      </c>
      <c r="F42" s="6">
        <f t="shared" si="7"/>
        <v>0</v>
      </c>
    </row>
    <row r="43" ht="14.25">
      <c r="A43">
        <v>40</v>
      </c>
      <c r="B43" t="s">
        <v>91</v>
      </c>
      <c r="C43" s="6">
        <f t="shared" si="4"/>
        <v>0</v>
      </c>
      <c r="D43" s="6">
        <f t="shared" si="5"/>
        <v>0</v>
      </c>
      <c r="E43" s="6">
        <f t="shared" si="6"/>
        <v>0</v>
      </c>
      <c r="F43" s="6">
        <f t="shared" si="7"/>
        <v>0</v>
      </c>
    </row>
    <row r="44" ht="14.25">
      <c r="A44">
        <v>41</v>
      </c>
      <c r="B44" t="s">
        <v>92</v>
      </c>
      <c r="C44" s="6">
        <f t="shared" si="4"/>
        <v>0</v>
      </c>
      <c r="D44" s="6">
        <f t="shared" si="5"/>
        <v>0</v>
      </c>
      <c r="E44" s="6">
        <f t="shared" si="6"/>
        <v>0</v>
      </c>
      <c r="F44" s="6">
        <f t="shared" si="7"/>
        <v>0</v>
      </c>
    </row>
    <row r="45" ht="14.25">
      <c r="A45">
        <v>42</v>
      </c>
      <c r="B45" t="s">
        <v>93</v>
      </c>
      <c r="C45" s="6">
        <f t="shared" si="4"/>
        <v>0</v>
      </c>
      <c r="D45" s="6">
        <f t="shared" si="5"/>
        <v>0</v>
      </c>
      <c r="E45" s="6">
        <f t="shared" si="6"/>
        <v>0</v>
      </c>
      <c r="F45" s="6">
        <f t="shared" si="7"/>
        <v>0</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4" operator="equal" id="{00B8009A-003F-410F-9AEC-0035003C00F8}">
            <xm:f>H4=0</xm:f>
            <x14:dxf>
              <font>
                <color theme="1" tint="0.249977111117893"/>
              </font>
              <fill>
                <patternFill patternType="solid">
                  <fgColor rgb="FFF2F2F2"/>
                  <bgColor rgb="FFF2F2F2"/>
                </patternFill>
              </fill>
            </x14:dxf>
          </x14:cfRule>
          <xm:sqref>H4:AU45</xm:sqref>
        </x14:conditionalFormatting>
        <x14:conditionalFormatting xmlns:xm="http://schemas.microsoft.com/office/excel/2006/main">
          <x14:cfRule type="expression" priority="3" operator="equal" id="{000C00AA-00C7-43F9-996D-00F100A20003}">
            <xm:f>H4=1</xm:f>
            <x14:dxf>
              <font>
                <color rgb="FF006100"/>
              </font>
              <fill>
                <patternFill patternType="solid">
                  <fgColor rgb="FFC6EFCE"/>
                  <bgColor rgb="FFC6EFCE"/>
                </patternFill>
              </fill>
            </x14:dxf>
          </x14:cfRule>
          <xm:sqref>H4:AU45</xm:sqref>
        </x14:conditionalFormatting>
        <x14:conditionalFormatting xmlns:xm="http://schemas.microsoft.com/office/excel/2006/main">
          <x14:cfRule type="expression" priority="2" operator="equal" id="{00C2001B-0076-4CF8-B5F5-0015006D00F8}">
            <xm:f>H4=2</xm:f>
            <x14:dxf>
              <font>
                <color rgb="FF9C0006"/>
              </font>
              <fill>
                <patternFill patternType="solid">
                  <fgColor rgb="FFFFC7CE"/>
                  <bgColor rgb="FFFFC7CE"/>
                </patternFill>
              </fill>
            </x14:dxf>
          </x14:cfRule>
          <xm:sqref>H4:AU45</xm:sqref>
        </x14:conditionalFormatting>
        <x14:conditionalFormatting xmlns:xm="http://schemas.microsoft.com/office/excel/2006/main">
          <x14:cfRule type="expression" priority="1" operator="equal" id="{00B60078-0047-4FE2-9B6E-002C00ED003C}">
            <xm:f>H4=3</xm:f>
            <x14:dxf>
              <font>
                <color rgb="FF9C5700"/>
              </font>
              <fill>
                <patternFill patternType="solid">
                  <fgColor rgb="FFFFEB9C"/>
                  <bgColor rgb="FFFFEB9C"/>
                </patternFill>
              </fill>
            </x14:dxf>
          </x14:cfRule>
          <xm:sqref>H4:AU45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2" topLeftCell="B3" activePane="bottomRight" state="frozen"/>
      <selection activeCell="A1" activeCellId="0" sqref="A1"/>
    </sheetView>
  </sheetViews>
  <sheetFormatPr defaultRowHeight="14.25"/>
  <cols>
    <col customWidth="1" min="1" max="1" width="42.57421875"/>
    <col customWidth="1" min="2" max="2" width="7.421875"/>
    <col customWidth="1" min="3" max="3" width="39.7109375"/>
    <col customWidth="1" min="5" max="44" width="4.57421875"/>
    <col customWidth="1" min="48" max="48" width="13.28125"/>
    <col customWidth="1" min="49" max="88" width="3.28125"/>
  </cols>
  <sheetData>
    <row r="1" s="7" customFormat="1" ht="15.6" customHeight="1">
      <c r="A1" s="7" t="s">
        <v>94</v>
      </c>
      <c r="B1" s="7"/>
      <c r="C1" s="7"/>
      <c r="D1" s="7" t="s">
        <v>94</v>
      </c>
      <c r="E1" s="7">
        <v>1</v>
      </c>
      <c r="F1" s="7">
        <v>2</v>
      </c>
      <c r="G1" s="7">
        <v>3</v>
      </c>
      <c r="H1" s="7">
        <v>4</v>
      </c>
      <c r="I1" s="7">
        <v>5</v>
      </c>
      <c r="J1" s="7">
        <v>6</v>
      </c>
      <c r="K1" s="7">
        <v>7</v>
      </c>
      <c r="L1" s="7">
        <v>8</v>
      </c>
      <c r="M1" s="7">
        <v>9</v>
      </c>
      <c r="N1" s="7">
        <v>10</v>
      </c>
      <c r="O1" s="7">
        <v>11</v>
      </c>
      <c r="P1" s="7">
        <v>12</v>
      </c>
      <c r="Q1" s="7">
        <v>13</v>
      </c>
      <c r="R1" s="7">
        <v>14</v>
      </c>
      <c r="S1" s="7">
        <v>15</v>
      </c>
      <c r="T1" s="7">
        <v>16</v>
      </c>
      <c r="U1" s="7">
        <v>17</v>
      </c>
      <c r="V1" s="7">
        <v>18</v>
      </c>
      <c r="W1" s="7">
        <v>19</v>
      </c>
      <c r="X1" s="7">
        <v>20</v>
      </c>
      <c r="Y1" s="7">
        <v>21</v>
      </c>
      <c r="Z1" s="7">
        <v>22</v>
      </c>
      <c r="AA1" s="7">
        <v>23</v>
      </c>
      <c r="AB1" s="7">
        <v>24</v>
      </c>
      <c r="AC1" s="7">
        <v>25</v>
      </c>
      <c r="AD1" s="7">
        <v>26</v>
      </c>
      <c r="AE1" s="7">
        <v>27</v>
      </c>
      <c r="AF1" s="7">
        <v>28</v>
      </c>
      <c r="AG1" s="7">
        <v>29</v>
      </c>
      <c r="AH1" s="7">
        <v>30</v>
      </c>
      <c r="AI1" s="7">
        <v>31</v>
      </c>
      <c r="AJ1" s="7">
        <v>32</v>
      </c>
      <c r="AK1" s="7">
        <v>33</v>
      </c>
      <c r="AL1" s="7">
        <v>34</v>
      </c>
      <c r="AM1" s="7">
        <v>35</v>
      </c>
      <c r="AN1" s="7">
        <v>36</v>
      </c>
      <c r="AO1" s="7">
        <v>37</v>
      </c>
      <c r="AP1" s="7">
        <v>38</v>
      </c>
      <c r="AQ1" s="7">
        <v>39</v>
      </c>
      <c r="AR1" s="7">
        <v>40</v>
      </c>
      <c r="AV1" s="1" t="s">
        <v>11</v>
      </c>
      <c r="AW1" s="7">
        <v>1</v>
      </c>
      <c r="AX1" s="7">
        <v>2</v>
      </c>
      <c r="AY1" s="7">
        <v>3</v>
      </c>
      <c r="AZ1" s="7">
        <v>4</v>
      </c>
      <c r="BA1" s="7">
        <v>5</v>
      </c>
      <c r="BB1" s="7">
        <v>6</v>
      </c>
      <c r="BC1" s="7">
        <v>7</v>
      </c>
      <c r="BD1" s="7">
        <v>8</v>
      </c>
      <c r="BE1" s="7">
        <v>9</v>
      </c>
      <c r="BF1" s="7">
        <v>10</v>
      </c>
      <c r="BG1" s="7">
        <v>11</v>
      </c>
      <c r="BH1" s="7">
        <v>12</v>
      </c>
      <c r="BI1" s="7">
        <v>13</v>
      </c>
      <c r="BJ1" s="7">
        <v>14</v>
      </c>
      <c r="BK1" s="7">
        <v>15</v>
      </c>
      <c r="BL1" s="7">
        <v>16</v>
      </c>
      <c r="BM1" s="7">
        <v>17</v>
      </c>
      <c r="BN1" s="7">
        <v>18</v>
      </c>
      <c r="BO1" s="7">
        <v>19</v>
      </c>
      <c r="BP1" s="7">
        <v>20</v>
      </c>
      <c r="BQ1" s="7">
        <v>21</v>
      </c>
      <c r="BR1" s="7">
        <v>22</v>
      </c>
      <c r="BS1" s="7">
        <v>23</v>
      </c>
      <c r="BT1" s="7">
        <v>24</v>
      </c>
      <c r="BU1" s="7">
        <v>25</v>
      </c>
      <c r="BV1" s="7">
        <v>26</v>
      </c>
      <c r="BW1" s="7">
        <v>27</v>
      </c>
      <c r="BX1" s="7">
        <v>28</v>
      </c>
      <c r="BY1" s="7">
        <v>29</v>
      </c>
      <c r="BZ1" s="7">
        <v>30</v>
      </c>
      <c r="CA1" s="7">
        <v>31</v>
      </c>
      <c r="CB1" s="7">
        <v>32</v>
      </c>
      <c r="CC1" s="7">
        <v>33</v>
      </c>
      <c r="CD1" s="7">
        <v>34</v>
      </c>
      <c r="CE1" s="7">
        <v>35</v>
      </c>
      <c r="CF1" s="7">
        <v>36</v>
      </c>
      <c r="CG1" s="7">
        <v>37</v>
      </c>
      <c r="CH1" s="7">
        <v>38</v>
      </c>
      <c r="CI1" s="7">
        <v>39</v>
      </c>
      <c r="CJ1" s="7">
        <v>40</v>
      </c>
    </row>
    <row r="2" s="7" customFormat="1" ht="15.6" customHeight="1">
      <c r="A2" s="7" t="s">
        <v>95</v>
      </c>
      <c r="B2" s="7" t="s">
        <v>10</v>
      </c>
      <c r="C2" s="7" t="s">
        <v>96</v>
      </c>
      <c r="D2" s="7" t="s">
        <v>45</v>
      </c>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V2" s="1" t="s">
        <v>45</v>
      </c>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row>
    <row r="3" s="7" customFormat="1" ht="16.199999999999999" customHeight="1">
      <c r="A3" s="7"/>
      <c r="B3" s="7"/>
      <c r="C3" s="7"/>
      <c r="D3" s="7" t="s">
        <v>97</v>
      </c>
      <c r="E3" s="7">
        <f>SUM(E4:E137)</f>
        <v>0</v>
      </c>
      <c r="F3" s="7">
        <f>SUM(F4:F137)</f>
        <v>0</v>
      </c>
      <c r="G3" s="7">
        <f>SUM(G4:G137)</f>
        <v>0</v>
      </c>
      <c r="H3" s="7">
        <f>SUM(H4:H137)</f>
        <v>0</v>
      </c>
      <c r="I3" s="7">
        <f>SUM(I4:I137)</f>
        <v>0</v>
      </c>
      <c r="J3" s="7">
        <f>SUM(J4:J137)</f>
        <v>0</v>
      </c>
      <c r="K3" s="7">
        <f>SUM(K4:K137)</f>
        <v>0</v>
      </c>
      <c r="L3" s="7">
        <f>SUM(L4:L137)</f>
        <v>0</v>
      </c>
      <c r="M3" s="7">
        <f>SUM(M4:M137)</f>
        <v>0</v>
      </c>
      <c r="N3" s="7">
        <f>SUM(N4:N137)</f>
        <v>0</v>
      </c>
      <c r="O3" s="7">
        <f>SUM(O4:O137)</f>
        <v>0</v>
      </c>
      <c r="P3" s="7">
        <f>SUM(P4:P137)</f>
        <v>0</v>
      </c>
      <c r="Q3" s="7">
        <f>SUM(Q4:Q137)</f>
        <v>0</v>
      </c>
      <c r="R3" s="7">
        <f>SUM(R4:R137)</f>
        <v>0</v>
      </c>
      <c r="S3" s="7">
        <f>SUM(S4:S137)</f>
        <v>0</v>
      </c>
      <c r="T3" s="7">
        <f>SUM(T4:T137)</f>
        <v>0</v>
      </c>
      <c r="U3" s="7">
        <f>SUM(U4:U137)</f>
        <v>0</v>
      </c>
      <c r="V3" s="7">
        <f>SUM(V4:V137)</f>
        <v>0</v>
      </c>
      <c r="W3" s="7">
        <f>SUM(W4:W137)</f>
        <v>0</v>
      </c>
      <c r="X3" s="7">
        <f>SUM(X4:X137)</f>
        <v>0</v>
      </c>
      <c r="Y3" s="7">
        <f>SUM(Y4:Y137)</f>
        <v>0</v>
      </c>
      <c r="Z3" s="7">
        <f>SUM(Z4:Z137)</f>
        <v>0</v>
      </c>
      <c r="AA3" s="7">
        <f>SUM(AA4:AA137)</f>
        <v>0</v>
      </c>
      <c r="AB3" s="7">
        <f>SUM(AB4:AB137)</f>
        <v>0</v>
      </c>
      <c r="AC3" s="7">
        <f>SUM(AC4:AC137)</f>
        <v>0</v>
      </c>
      <c r="AD3" s="7">
        <f>SUM(AD4:AD137)</f>
        <v>0</v>
      </c>
      <c r="AE3" s="7">
        <f>SUM(AE4:AE137)</f>
        <v>0</v>
      </c>
      <c r="AF3" s="7">
        <f>SUM(AF4:AF137)</f>
        <v>0</v>
      </c>
      <c r="AG3" s="7">
        <f>SUM(AG4:AG137)</f>
        <v>0</v>
      </c>
      <c r="AH3" s="7">
        <f>SUM(AH4:AH137)</f>
        <v>0</v>
      </c>
      <c r="AI3" s="7">
        <f>SUM(AI4:AI137)</f>
        <v>0</v>
      </c>
      <c r="AJ3" s="7">
        <f>SUM(AJ4:AJ137)</f>
        <v>0</v>
      </c>
      <c r="AK3" s="7">
        <f>SUM(AK4:AK137)</f>
        <v>0</v>
      </c>
      <c r="AL3" s="7">
        <f>SUM(AL4:AL137)</f>
        <v>0</v>
      </c>
      <c r="AM3" s="7">
        <f>SUM(AM4:AM137)</f>
        <v>0</v>
      </c>
      <c r="AN3" s="7">
        <f>SUM(AN4:AN137)</f>
        <v>0</v>
      </c>
      <c r="AO3" s="7">
        <f>SUM(AO4:AO137)</f>
        <v>0</v>
      </c>
      <c r="AP3" s="7">
        <f>SUM(AP4:AP137)</f>
        <v>0</v>
      </c>
      <c r="AQ3" s="7">
        <f>SUM(AQ4:AQ137)</f>
        <v>0</v>
      </c>
      <c r="AR3" s="7">
        <f>SUM(AR4:AR137)</f>
        <v>0</v>
      </c>
      <c r="AV3" s="1" t="s">
        <v>0</v>
      </c>
      <c r="AW3" s="8">
        <f>COUNTA(AW4:AW137)</f>
        <v>0</v>
      </c>
      <c r="AX3" s="8">
        <f>COUNTA(AX4:AX137)</f>
        <v>0</v>
      </c>
      <c r="AY3" s="8">
        <f>COUNTA(AY4:AY137)</f>
        <v>0</v>
      </c>
      <c r="AZ3" s="8">
        <f>COUNTA(AZ4:AZ137)</f>
        <v>0</v>
      </c>
      <c r="BA3" s="8">
        <f>COUNTA(BA4:BA137)</f>
        <v>0</v>
      </c>
      <c r="BB3" s="8">
        <f>COUNTA(BB4:BB137)</f>
        <v>0</v>
      </c>
      <c r="BC3" s="8">
        <f>COUNTA(BC4:BC137)</f>
        <v>0</v>
      </c>
      <c r="BD3" s="8">
        <f>COUNTA(BD4:BD137)</f>
        <v>0</v>
      </c>
      <c r="BE3" s="8">
        <f>COUNTA(BE4:BE137)</f>
        <v>0</v>
      </c>
      <c r="BF3" s="8">
        <f>COUNTA(BF4:BF137)</f>
        <v>0</v>
      </c>
      <c r="BG3" s="8">
        <f>COUNTA(BG4:BG137)</f>
        <v>0</v>
      </c>
      <c r="BH3" s="8">
        <f>COUNTA(BH4:BH137)</f>
        <v>0</v>
      </c>
      <c r="BI3" s="8">
        <f>COUNTA(BI4:BI137)</f>
        <v>0</v>
      </c>
      <c r="BJ3" s="8">
        <f>COUNTA(BJ4:BJ137)</f>
        <v>0</v>
      </c>
      <c r="BK3" s="8">
        <f>COUNTA(BK4:BK137)</f>
        <v>0</v>
      </c>
      <c r="BL3" s="8">
        <f>COUNTA(BL4:BL137)</f>
        <v>0</v>
      </c>
      <c r="BM3" s="8">
        <f>COUNTA(BM4:BM137)</f>
        <v>0</v>
      </c>
      <c r="BN3" s="8">
        <f>COUNTA(BN4:BN137)</f>
        <v>0</v>
      </c>
      <c r="BO3" s="8">
        <f>COUNTA(BO4:BO137)</f>
        <v>0</v>
      </c>
      <c r="BP3" s="8">
        <f>COUNTA(BP4:BP137)</f>
        <v>0</v>
      </c>
      <c r="BQ3" s="8">
        <f>COUNTA(BQ4:BQ137)</f>
        <v>0</v>
      </c>
      <c r="BR3" s="8">
        <f>COUNTA(BR4:BR137)</f>
        <v>0</v>
      </c>
      <c r="BS3" s="8">
        <f>COUNTA(BS4:BS137)</f>
        <v>0</v>
      </c>
      <c r="BT3" s="8">
        <f>COUNTA(BT4:BT137)</f>
        <v>0</v>
      </c>
      <c r="BU3" s="8">
        <f>COUNTA(BU4:BU137)</f>
        <v>0</v>
      </c>
      <c r="BV3" s="8">
        <f>COUNTA(BV4:BV137)</f>
        <v>0</v>
      </c>
      <c r="BW3" s="8">
        <f>COUNTA(BW4:BW137)</f>
        <v>0</v>
      </c>
      <c r="BX3" s="8">
        <f>COUNTA(BX4:BX137)</f>
        <v>0</v>
      </c>
      <c r="BY3" s="8">
        <f>COUNTA(BY4:BY137)</f>
        <v>0</v>
      </c>
      <c r="BZ3" s="8">
        <f>COUNTA(BZ4:BZ137)</f>
        <v>0</v>
      </c>
      <c r="CA3" s="8">
        <f>COUNTA(CA4:CA137)</f>
        <v>0</v>
      </c>
      <c r="CB3" s="8">
        <f>COUNTA(CB4:CB137)</f>
        <v>0</v>
      </c>
      <c r="CC3" s="8">
        <f>COUNTA(CC4:CC137)</f>
        <v>0</v>
      </c>
      <c r="CD3" s="8">
        <f>COUNTA(CD4:CD137)</f>
        <v>0</v>
      </c>
      <c r="CE3" s="8">
        <f>COUNTA(CE4:CE137)</f>
        <v>0</v>
      </c>
      <c r="CF3" s="8">
        <f>COUNTA(CF4:CF137)</f>
        <v>0</v>
      </c>
      <c r="CG3" s="8">
        <f>COUNTA(CG4:CG137)</f>
        <v>0</v>
      </c>
      <c r="CH3" s="8">
        <f>COUNTA(CH4:CH137)</f>
        <v>0</v>
      </c>
      <c r="CI3" s="8">
        <f>COUNTA(CI4:CI137)</f>
        <v>0</v>
      </c>
      <c r="CJ3" s="8">
        <f>COUNTA(CJ4:CJ137)</f>
        <v>0</v>
      </c>
    </row>
    <row r="4" ht="16.800000000000001" customHeight="1">
      <c r="A4" s="9" t="s">
        <v>98</v>
      </c>
      <c r="B4" s="10">
        <v>1</v>
      </c>
      <c r="C4" s="11" t="s">
        <v>52</v>
      </c>
      <c r="D4">
        <f t="shared" ref="D4:D9" si="8">SUM(E4:AR4)</f>
        <v>0</v>
      </c>
    </row>
    <row r="5" ht="16.800000000000001" customHeight="1">
      <c r="A5" s="12" t="s">
        <v>99</v>
      </c>
      <c r="B5" s="13"/>
      <c r="C5" s="14"/>
      <c r="D5" s="15">
        <f t="shared" si="8"/>
        <v>0</v>
      </c>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row>
    <row r="6" ht="16.800000000000001" customHeight="1">
      <c r="A6" s="12" t="s">
        <v>100</v>
      </c>
      <c r="B6" s="16">
        <v>2</v>
      </c>
      <c r="C6" s="17" t="s">
        <v>53</v>
      </c>
      <c r="D6" s="15">
        <f t="shared" si="8"/>
        <v>0</v>
      </c>
    </row>
    <row r="7" ht="16.800000000000001" customHeight="1">
      <c r="A7" s="12" t="s">
        <v>101</v>
      </c>
      <c r="B7" s="10"/>
      <c r="C7" s="11"/>
      <c r="D7" s="15">
        <f t="shared" si="8"/>
        <v>0</v>
      </c>
    </row>
    <row r="8" ht="16.800000000000001" customHeight="1">
      <c r="A8" s="12" t="s">
        <v>102</v>
      </c>
      <c r="B8" s="10"/>
      <c r="C8" s="11"/>
      <c r="D8" s="15">
        <f t="shared" si="8"/>
        <v>0</v>
      </c>
    </row>
    <row r="9" ht="16.800000000000001" customHeight="1">
      <c r="A9" s="12" t="s">
        <v>103</v>
      </c>
      <c r="B9" s="13"/>
      <c r="C9" s="14"/>
      <c r="D9" s="15">
        <f t="shared" si="8"/>
        <v>0</v>
      </c>
    </row>
    <row r="10" ht="16.800000000000001" customHeight="1">
      <c r="A10" s="18" t="s">
        <v>104</v>
      </c>
      <c r="B10" s="16">
        <v>3</v>
      </c>
      <c r="C10" s="17" t="s">
        <v>54</v>
      </c>
      <c r="D10" s="15">
        <f t="shared" ref="D10:D73" si="9">SUM(E10:AR10)</f>
        <v>0</v>
      </c>
    </row>
    <row r="11" ht="16.800000000000001" customHeight="1">
      <c r="A11" s="12" t="s">
        <v>105</v>
      </c>
      <c r="B11" s="13"/>
      <c r="C11" s="14"/>
      <c r="D11" s="15">
        <f t="shared" si="9"/>
        <v>0</v>
      </c>
    </row>
    <row r="12" ht="16.800000000000001" customHeight="1">
      <c r="A12" s="12" t="s">
        <v>106</v>
      </c>
      <c r="B12" s="16">
        <v>4</v>
      </c>
      <c r="C12" s="17" t="s">
        <v>55</v>
      </c>
      <c r="D12" s="15">
        <f t="shared" si="9"/>
        <v>0</v>
      </c>
    </row>
    <row r="13" ht="16.800000000000001" customHeight="1">
      <c r="A13" s="12" t="s">
        <v>107</v>
      </c>
      <c r="B13" s="10"/>
      <c r="C13" s="11"/>
      <c r="D13" s="15">
        <f t="shared" si="9"/>
        <v>0</v>
      </c>
    </row>
    <row r="14" ht="16.800000000000001" customHeight="1">
      <c r="A14" s="12" t="s">
        <v>108</v>
      </c>
      <c r="B14" s="10"/>
      <c r="C14" s="11"/>
      <c r="D14" s="15">
        <f t="shared" si="9"/>
        <v>0</v>
      </c>
    </row>
    <row r="15" ht="16.800000000000001" customHeight="1">
      <c r="A15" s="12" t="s">
        <v>109</v>
      </c>
      <c r="B15" s="13"/>
      <c r="C15" s="14"/>
      <c r="D15" s="15">
        <f t="shared" si="9"/>
        <v>0</v>
      </c>
    </row>
    <row r="16" ht="16.800000000000001" customHeight="1">
      <c r="A16" s="12" t="s">
        <v>110</v>
      </c>
      <c r="B16" s="16">
        <v>5</v>
      </c>
      <c r="C16" s="17" t="s">
        <v>56</v>
      </c>
      <c r="D16" s="15">
        <f t="shared" si="9"/>
        <v>0</v>
      </c>
    </row>
    <row r="17" ht="16.800000000000001" customHeight="1">
      <c r="A17" s="12" t="s">
        <v>111</v>
      </c>
      <c r="B17" s="10"/>
      <c r="C17" s="11"/>
      <c r="D17" s="15">
        <f t="shared" si="9"/>
        <v>0</v>
      </c>
    </row>
    <row r="18" ht="16.800000000000001" customHeight="1">
      <c r="A18" s="12" t="s">
        <v>112</v>
      </c>
      <c r="B18" s="10"/>
      <c r="C18" s="11"/>
      <c r="D18" s="15">
        <f t="shared" si="9"/>
        <v>0</v>
      </c>
    </row>
    <row r="19" ht="16.800000000000001" customHeight="1">
      <c r="A19" s="12" t="s">
        <v>113</v>
      </c>
      <c r="B19" s="10"/>
      <c r="C19" s="11"/>
      <c r="D19" s="15">
        <f t="shared" si="9"/>
        <v>0</v>
      </c>
    </row>
    <row r="20" ht="16.800000000000001" customHeight="1">
      <c r="A20" s="12" t="s">
        <v>114</v>
      </c>
      <c r="B20" s="10"/>
      <c r="C20" s="11"/>
      <c r="D20" s="15">
        <f t="shared" si="9"/>
        <v>0</v>
      </c>
    </row>
    <row r="21" ht="16.800000000000001" customHeight="1">
      <c r="A21" s="12" t="s">
        <v>115</v>
      </c>
      <c r="B21" s="13"/>
      <c r="C21" s="14"/>
      <c r="D21" s="15">
        <f t="shared" si="9"/>
        <v>0</v>
      </c>
    </row>
    <row r="22" ht="16.800000000000001" customHeight="1">
      <c r="A22" s="12" t="s">
        <v>116</v>
      </c>
      <c r="B22" s="16">
        <v>6</v>
      </c>
      <c r="C22" s="17" t="s">
        <v>57</v>
      </c>
      <c r="D22" s="15">
        <f t="shared" si="9"/>
        <v>0</v>
      </c>
    </row>
    <row r="23" ht="16.800000000000001" customHeight="1">
      <c r="A23" s="12" t="s">
        <v>117</v>
      </c>
      <c r="B23" s="10"/>
      <c r="C23" s="11"/>
      <c r="D23" s="15">
        <f t="shared" si="9"/>
        <v>0</v>
      </c>
    </row>
    <row r="24" ht="16.800000000000001" customHeight="1">
      <c r="A24" s="12" t="s">
        <v>118</v>
      </c>
      <c r="B24" s="10"/>
      <c r="C24" s="11"/>
      <c r="D24" s="15">
        <f t="shared" si="9"/>
        <v>0</v>
      </c>
    </row>
    <row r="25" ht="16.800000000000001" customHeight="1">
      <c r="A25" s="12" t="s">
        <v>119</v>
      </c>
      <c r="B25" s="10"/>
      <c r="C25" s="11"/>
      <c r="D25" s="15">
        <f t="shared" si="9"/>
        <v>0</v>
      </c>
    </row>
    <row r="26" ht="16.800000000000001" customHeight="1">
      <c r="A26" s="12" t="s">
        <v>120</v>
      </c>
      <c r="B26" s="13"/>
      <c r="C26" s="14"/>
      <c r="D26" s="15">
        <f t="shared" si="9"/>
        <v>0</v>
      </c>
    </row>
    <row r="27" ht="16.800000000000001" customHeight="1">
      <c r="A27" s="12" t="s">
        <v>121</v>
      </c>
      <c r="B27" s="16">
        <v>7</v>
      </c>
      <c r="C27" s="17" t="s">
        <v>58</v>
      </c>
      <c r="D27" s="15">
        <f t="shared" si="9"/>
        <v>0</v>
      </c>
    </row>
    <row r="28" ht="16.800000000000001" customHeight="1">
      <c r="A28" s="12" t="s">
        <v>122</v>
      </c>
      <c r="B28" s="13"/>
      <c r="C28" s="14"/>
      <c r="D28" s="15">
        <f t="shared" si="9"/>
        <v>0</v>
      </c>
    </row>
    <row r="29" ht="16.800000000000001" customHeight="1">
      <c r="A29" s="12" t="s">
        <v>123</v>
      </c>
      <c r="B29" s="16">
        <v>8</v>
      </c>
      <c r="C29" s="17" t="s">
        <v>59</v>
      </c>
      <c r="D29" s="15">
        <f t="shared" si="9"/>
        <v>0</v>
      </c>
    </row>
    <row r="30" ht="16.800000000000001" customHeight="1">
      <c r="A30" s="12" t="s">
        <v>124</v>
      </c>
      <c r="B30" s="10"/>
      <c r="C30" s="11"/>
      <c r="D30" s="15">
        <f t="shared" si="9"/>
        <v>0</v>
      </c>
    </row>
    <row r="31" ht="16.800000000000001" customHeight="1">
      <c r="A31" s="12" t="s">
        <v>125</v>
      </c>
      <c r="B31" s="10"/>
      <c r="C31" s="11"/>
      <c r="D31" s="15">
        <f t="shared" si="9"/>
        <v>0</v>
      </c>
    </row>
    <row r="32" ht="16.800000000000001" customHeight="1">
      <c r="A32" s="12" t="s">
        <v>126</v>
      </c>
      <c r="B32" s="10"/>
      <c r="C32" s="11"/>
      <c r="D32" s="15">
        <f t="shared" si="9"/>
        <v>0</v>
      </c>
    </row>
    <row r="33" ht="16.800000000000001" customHeight="1">
      <c r="A33" s="12" t="s">
        <v>127</v>
      </c>
      <c r="B33" s="10"/>
      <c r="C33" s="11"/>
      <c r="D33" s="15">
        <f t="shared" si="9"/>
        <v>0</v>
      </c>
    </row>
    <row r="34" ht="16.800000000000001" customHeight="1">
      <c r="A34" s="12" t="s">
        <v>128</v>
      </c>
      <c r="B34" s="10"/>
      <c r="C34" s="11"/>
      <c r="D34" s="15">
        <f t="shared" si="9"/>
        <v>0</v>
      </c>
    </row>
    <row r="35" ht="16.800000000000001" customHeight="1">
      <c r="A35" s="12" t="s">
        <v>129</v>
      </c>
      <c r="B35" s="10"/>
      <c r="C35" s="11"/>
      <c r="D35" s="15">
        <f t="shared" si="9"/>
        <v>0</v>
      </c>
    </row>
    <row r="36" ht="16.800000000000001" customHeight="1">
      <c r="A36" s="12" t="s">
        <v>130</v>
      </c>
      <c r="B36" s="10"/>
      <c r="C36" s="11"/>
      <c r="D36" s="15">
        <f t="shared" si="9"/>
        <v>0</v>
      </c>
    </row>
    <row r="37" ht="16.800000000000001" customHeight="1">
      <c r="A37" s="12" t="s">
        <v>131</v>
      </c>
      <c r="B37" s="10"/>
      <c r="C37" s="11"/>
      <c r="D37" s="15">
        <f t="shared" si="9"/>
        <v>0</v>
      </c>
    </row>
    <row r="38" ht="16.800000000000001" customHeight="1">
      <c r="A38" s="12" t="s">
        <v>132</v>
      </c>
      <c r="B38" s="10"/>
      <c r="C38" s="11"/>
      <c r="D38" s="15">
        <f t="shared" si="9"/>
        <v>0</v>
      </c>
    </row>
    <row r="39" ht="16.800000000000001" customHeight="1">
      <c r="A39" s="12" t="s">
        <v>133</v>
      </c>
      <c r="B39" s="10"/>
      <c r="C39" s="11"/>
      <c r="D39" s="15">
        <f t="shared" si="9"/>
        <v>0</v>
      </c>
    </row>
    <row r="40" ht="16.800000000000001" customHeight="1">
      <c r="A40" s="12" t="s">
        <v>134</v>
      </c>
      <c r="B40" s="13"/>
      <c r="C40" s="14"/>
      <c r="D40" s="15">
        <f t="shared" si="9"/>
        <v>0</v>
      </c>
    </row>
    <row r="41" ht="16.800000000000001" customHeight="1">
      <c r="A41" s="19" t="s">
        <v>135</v>
      </c>
      <c r="B41" s="16">
        <v>9</v>
      </c>
      <c r="C41" s="17" t="s">
        <v>60</v>
      </c>
      <c r="D41" s="15">
        <f t="shared" si="9"/>
        <v>0</v>
      </c>
    </row>
    <row r="42" ht="16.800000000000001" customHeight="1">
      <c r="A42" s="19" t="s">
        <v>136</v>
      </c>
      <c r="B42" s="10"/>
      <c r="C42" s="11"/>
      <c r="D42" s="15">
        <f t="shared" si="9"/>
        <v>0</v>
      </c>
    </row>
    <row r="43" ht="16.800000000000001" customHeight="1">
      <c r="A43" s="19" t="s">
        <v>137</v>
      </c>
      <c r="B43" s="13"/>
      <c r="C43" s="14"/>
      <c r="D43" s="15">
        <f t="shared" si="9"/>
        <v>0</v>
      </c>
    </row>
    <row r="44" ht="16.800000000000001" customHeight="1">
      <c r="A44" s="12" t="s">
        <v>138</v>
      </c>
      <c r="B44" s="16">
        <v>10</v>
      </c>
      <c r="C44" s="20" t="s">
        <v>139</v>
      </c>
      <c r="D44" s="15">
        <f t="shared" si="9"/>
        <v>0</v>
      </c>
    </row>
    <row r="45" ht="16.800000000000001" customHeight="1">
      <c r="A45" s="12" t="s">
        <v>140</v>
      </c>
      <c r="B45" s="13"/>
      <c r="C45" s="9"/>
      <c r="D45" s="15">
        <f t="shared" si="9"/>
        <v>0</v>
      </c>
    </row>
    <row r="46" ht="16.800000000000001" customHeight="1">
      <c r="A46" s="21" t="s">
        <v>141</v>
      </c>
      <c r="B46" s="22">
        <v>11</v>
      </c>
      <c r="C46" s="18" t="s">
        <v>62</v>
      </c>
      <c r="D46" s="15">
        <f t="shared" si="9"/>
        <v>0</v>
      </c>
    </row>
    <row r="47" ht="16.800000000000001" customHeight="1">
      <c r="A47" s="12" t="s">
        <v>142</v>
      </c>
      <c r="B47" s="16">
        <v>12</v>
      </c>
      <c r="C47" s="17" t="s">
        <v>63</v>
      </c>
      <c r="D47" s="15">
        <f t="shared" si="9"/>
        <v>0</v>
      </c>
    </row>
    <row r="48" ht="16.800000000000001" customHeight="1">
      <c r="A48" s="12" t="s">
        <v>143</v>
      </c>
      <c r="B48" s="10"/>
      <c r="C48" s="11"/>
      <c r="D48" s="15">
        <f t="shared" si="9"/>
        <v>0</v>
      </c>
    </row>
    <row r="49" ht="16.800000000000001" customHeight="1">
      <c r="A49" s="12" t="s">
        <v>144</v>
      </c>
      <c r="B49" s="10"/>
      <c r="C49" s="11"/>
      <c r="D49" s="15">
        <f t="shared" si="9"/>
        <v>0</v>
      </c>
    </row>
    <row r="50" ht="16.800000000000001" customHeight="1">
      <c r="A50" s="12" t="s">
        <v>145</v>
      </c>
      <c r="B50" s="10"/>
      <c r="C50" s="11"/>
      <c r="D50" s="15">
        <f t="shared" si="9"/>
        <v>0</v>
      </c>
    </row>
    <row r="51" ht="16.800000000000001" customHeight="1">
      <c r="A51" s="12" t="s">
        <v>146</v>
      </c>
      <c r="B51" s="13"/>
      <c r="C51" s="14"/>
      <c r="D51" s="15">
        <f t="shared" si="9"/>
        <v>0</v>
      </c>
    </row>
    <row r="52" ht="16.800000000000001" customHeight="1">
      <c r="A52" s="19" t="s">
        <v>147</v>
      </c>
      <c r="B52" s="16">
        <v>13</v>
      </c>
      <c r="C52" s="17" t="s">
        <v>64</v>
      </c>
      <c r="D52" s="15">
        <f t="shared" si="9"/>
        <v>0</v>
      </c>
    </row>
    <row r="53" ht="16.800000000000001" customHeight="1">
      <c r="A53" s="19" t="s">
        <v>148</v>
      </c>
      <c r="B53" s="13"/>
      <c r="C53" s="14"/>
      <c r="D53" s="15">
        <f t="shared" si="9"/>
        <v>0</v>
      </c>
    </row>
    <row r="54" ht="16.800000000000001" customHeight="1">
      <c r="A54" s="12" t="s">
        <v>149</v>
      </c>
      <c r="B54" s="16">
        <v>14</v>
      </c>
      <c r="C54" s="17">
        <f>'3. Aanbod'!C17</f>
        <v>0</v>
      </c>
      <c r="D54" s="15">
        <f t="shared" si="9"/>
        <v>0</v>
      </c>
    </row>
    <row r="55" ht="16.800000000000001" customHeight="1">
      <c r="A55" s="12" t="s">
        <v>150</v>
      </c>
      <c r="B55" s="10"/>
      <c r="C55" s="11"/>
      <c r="D55" s="15">
        <f t="shared" si="9"/>
        <v>0</v>
      </c>
    </row>
    <row r="56" ht="16.800000000000001" customHeight="1">
      <c r="A56" s="12" t="s">
        <v>151</v>
      </c>
      <c r="B56" s="13"/>
      <c r="C56" s="14"/>
      <c r="D56" s="15">
        <f t="shared" si="9"/>
        <v>0</v>
      </c>
    </row>
    <row r="57" ht="16.800000000000001" customHeight="1">
      <c r="A57" s="12" t="s">
        <v>152</v>
      </c>
      <c r="B57" s="16">
        <v>15</v>
      </c>
      <c r="C57" s="17" t="s">
        <v>66</v>
      </c>
      <c r="D57" s="15">
        <f t="shared" si="9"/>
        <v>0</v>
      </c>
    </row>
    <row r="58" ht="16.800000000000001" customHeight="1">
      <c r="A58" s="12" t="s">
        <v>153</v>
      </c>
      <c r="B58" s="10"/>
      <c r="C58" s="11"/>
      <c r="D58" s="15">
        <f t="shared" si="9"/>
        <v>0</v>
      </c>
    </row>
    <row r="59" ht="16.800000000000001" customHeight="1">
      <c r="A59" s="12" t="s">
        <v>154</v>
      </c>
      <c r="B59" s="10"/>
      <c r="C59" s="11"/>
      <c r="D59" s="15">
        <f t="shared" si="9"/>
        <v>0</v>
      </c>
    </row>
    <row r="60" ht="16.800000000000001" customHeight="1">
      <c r="A60" s="12" t="s">
        <v>155</v>
      </c>
      <c r="B60" s="10"/>
      <c r="C60" s="11"/>
      <c r="D60" s="15">
        <f t="shared" si="9"/>
        <v>0</v>
      </c>
    </row>
    <row r="61" ht="16.800000000000001" customHeight="1">
      <c r="A61" s="12" t="s">
        <v>156</v>
      </c>
      <c r="B61" s="10"/>
      <c r="C61" s="11"/>
      <c r="D61" s="15">
        <f t="shared" si="9"/>
        <v>0</v>
      </c>
    </row>
    <row r="62" ht="16.800000000000001" customHeight="1">
      <c r="A62" s="12" t="s">
        <v>157</v>
      </c>
      <c r="B62" s="13"/>
      <c r="C62" s="14"/>
      <c r="D62" s="15">
        <f t="shared" si="9"/>
        <v>0</v>
      </c>
    </row>
    <row r="63" ht="16.800000000000001" customHeight="1">
      <c r="A63" s="12" t="s">
        <v>158</v>
      </c>
      <c r="B63" s="16">
        <v>16</v>
      </c>
      <c r="C63" s="17" t="s">
        <v>67</v>
      </c>
      <c r="D63" s="15">
        <f t="shared" si="9"/>
        <v>0</v>
      </c>
    </row>
    <row r="64" ht="16.800000000000001" customHeight="1">
      <c r="A64" s="12" t="s">
        <v>159</v>
      </c>
      <c r="B64" s="10"/>
      <c r="C64" s="11"/>
      <c r="D64" s="15">
        <f t="shared" si="9"/>
        <v>0</v>
      </c>
    </row>
    <row r="65" ht="16.800000000000001" customHeight="1">
      <c r="A65" s="12" t="s">
        <v>160</v>
      </c>
      <c r="B65" s="10"/>
      <c r="C65" s="11"/>
      <c r="D65" s="15">
        <f t="shared" si="9"/>
        <v>0</v>
      </c>
    </row>
    <row r="66" ht="16.800000000000001" customHeight="1">
      <c r="A66" s="12" t="s">
        <v>161</v>
      </c>
      <c r="B66" s="13"/>
      <c r="C66" s="14"/>
      <c r="D66" s="15">
        <f t="shared" si="9"/>
        <v>0</v>
      </c>
    </row>
    <row r="67" ht="16.800000000000001" customHeight="1">
      <c r="A67" s="12" t="s">
        <v>162</v>
      </c>
      <c r="B67" s="16">
        <v>17</v>
      </c>
      <c r="C67" s="17" t="s">
        <v>68</v>
      </c>
      <c r="D67" s="15">
        <f t="shared" si="9"/>
        <v>0</v>
      </c>
    </row>
    <row r="68" ht="16.800000000000001" customHeight="1">
      <c r="A68" s="12" t="s">
        <v>163</v>
      </c>
      <c r="B68" s="13"/>
      <c r="C68" s="14"/>
      <c r="D68" s="15">
        <f t="shared" si="9"/>
        <v>0</v>
      </c>
    </row>
    <row r="69" ht="16.800000000000001" customHeight="1">
      <c r="A69" s="12" t="s">
        <v>164</v>
      </c>
      <c r="B69" s="16">
        <v>18</v>
      </c>
      <c r="C69" s="17" t="s">
        <v>69</v>
      </c>
      <c r="D69" s="15">
        <f t="shared" si="9"/>
        <v>0</v>
      </c>
    </row>
    <row r="70" ht="16.800000000000001" customHeight="1">
      <c r="A70" s="12" t="s">
        <v>165</v>
      </c>
      <c r="B70" s="10"/>
      <c r="C70" s="18"/>
      <c r="D70" s="15">
        <f t="shared" si="9"/>
        <v>0</v>
      </c>
    </row>
    <row r="71" ht="16.800000000000001" customHeight="1">
      <c r="A71" s="12" t="s">
        <v>166</v>
      </c>
      <c r="B71" s="13"/>
      <c r="C71" s="18"/>
      <c r="D71" s="15">
        <f t="shared" si="9"/>
        <v>0</v>
      </c>
    </row>
    <row r="72" ht="16.800000000000001" customHeight="1">
      <c r="A72" s="12" t="s">
        <v>167</v>
      </c>
      <c r="B72" s="16">
        <v>19</v>
      </c>
      <c r="C72" s="17" t="s">
        <v>168</v>
      </c>
      <c r="D72" s="15">
        <f t="shared" si="9"/>
        <v>0</v>
      </c>
    </row>
    <row r="73" ht="16.800000000000001" customHeight="1">
      <c r="A73" s="12" t="s">
        <v>169</v>
      </c>
      <c r="B73" s="10"/>
      <c r="C73" s="11"/>
      <c r="D73" s="15">
        <f t="shared" si="9"/>
        <v>0</v>
      </c>
    </row>
    <row r="74" ht="16.800000000000001" customHeight="1">
      <c r="A74" s="12" t="s">
        <v>170</v>
      </c>
      <c r="B74" s="13"/>
      <c r="C74" s="14"/>
      <c r="D74" s="15">
        <f t="shared" ref="D74:D99" si="10">SUM(E74:AR74)</f>
        <v>0</v>
      </c>
    </row>
    <row r="75" ht="16.800000000000001" customHeight="1">
      <c r="A75" s="12" t="s">
        <v>171</v>
      </c>
      <c r="B75" s="16">
        <v>20</v>
      </c>
      <c r="C75" s="17" t="s">
        <v>71</v>
      </c>
      <c r="D75" s="15">
        <f t="shared" si="10"/>
        <v>0</v>
      </c>
    </row>
    <row r="76" ht="16.800000000000001" customHeight="1">
      <c r="A76" s="12" t="s">
        <v>172</v>
      </c>
      <c r="B76" s="10"/>
      <c r="C76" s="11"/>
      <c r="D76" s="15">
        <f t="shared" si="10"/>
        <v>0</v>
      </c>
    </row>
    <row r="77" ht="16.800000000000001" customHeight="1">
      <c r="A77" s="12" t="s">
        <v>173</v>
      </c>
      <c r="B77" s="10"/>
      <c r="C77" s="11"/>
      <c r="D77" s="15">
        <f t="shared" si="10"/>
        <v>0</v>
      </c>
    </row>
    <row r="78" ht="16.800000000000001" customHeight="1">
      <c r="A78" s="12" t="s">
        <v>174</v>
      </c>
      <c r="B78" s="10"/>
      <c r="C78" s="11"/>
      <c r="D78" s="15">
        <f t="shared" si="10"/>
        <v>0</v>
      </c>
    </row>
    <row r="79" ht="16.800000000000001" customHeight="1">
      <c r="A79" s="12" t="s">
        <v>175</v>
      </c>
      <c r="B79" s="13"/>
      <c r="C79" s="14"/>
      <c r="D79" s="15">
        <f t="shared" si="10"/>
        <v>0</v>
      </c>
    </row>
    <row r="80" ht="16.800000000000001" customHeight="1">
      <c r="A80" s="19" t="s">
        <v>176</v>
      </c>
      <c r="B80" s="22">
        <v>21</v>
      </c>
      <c r="C80" s="18" t="s">
        <v>72</v>
      </c>
      <c r="D80" s="15">
        <f t="shared" si="10"/>
        <v>0</v>
      </c>
    </row>
    <row r="81" ht="16.800000000000001" customHeight="1">
      <c r="A81" s="19" t="s">
        <v>177</v>
      </c>
      <c r="B81" s="16">
        <v>22</v>
      </c>
      <c r="C81" s="17" t="s">
        <v>178</v>
      </c>
      <c r="D81" s="15">
        <f t="shared" si="10"/>
        <v>0</v>
      </c>
    </row>
    <row r="82" ht="16.800000000000001" customHeight="1">
      <c r="A82" s="19" t="s">
        <v>179</v>
      </c>
      <c r="B82" s="13"/>
      <c r="C82" s="14"/>
      <c r="D82" s="15">
        <f t="shared" si="10"/>
        <v>0</v>
      </c>
    </row>
    <row r="83" ht="16.800000000000001" customHeight="1">
      <c r="A83" s="23" t="s">
        <v>180</v>
      </c>
      <c r="B83" s="22">
        <v>23</v>
      </c>
      <c r="C83" s="18" t="s">
        <v>74</v>
      </c>
      <c r="D83" s="15">
        <f t="shared" si="10"/>
        <v>0</v>
      </c>
    </row>
    <row r="84" ht="16.800000000000001" customHeight="1">
      <c r="A84" s="12" t="s">
        <v>181</v>
      </c>
      <c r="B84" s="16">
        <v>24</v>
      </c>
      <c r="C84" s="17" t="s">
        <v>75</v>
      </c>
      <c r="D84" s="15">
        <f t="shared" si="10"/>
        <v>0</v>
      </c>
    </row>
    <row r="85" ht="16.800000000000001" customHeight="1">
      <c r="A85" s="12" t="s">
        <v>182</v>
      </c>
      <c r="B85" s="10"/>
      <c r="C85" s="11"/>
      <c r="D85" s="15">
        <f t="shared" si="10"/>
        <v>0</v>
      </c>
    </row>
    <row r="86" ht="16.800000000000001" customHeight="1">
      <c r="A86" s="12" t="s">
        <v>183</v>
      </c>
      <c r="B86" s="13"/>
      <c r="C86" s="14"/>
      <c r="D86" s="15">
        <f t="shared" si="10"/>
        <v>0</v>
      </c>
    </row>
    <row r="87" ht="16.800000000000001" customHeight="1">
      <c r="A87" s="12" t="s">
        <v>184</v>
      </c>
      <c r="B87" s="16">
        <v>25</v>
      </c>
      <c r="C87" s="17" t="s">
        <v>76</v>
      </c>
      <c r="D87" s="15">
        <f t="shared" si="10"/>
        <v>0</v>
      </c>
    </row>
    <row r="88" ht="16.800000000000001" customHeight="1">
      <c r="A88" s="12" t="s">
        <v>185</v>
      </c>
      <c r="B88" s="13"/>
      <c r="C88" s="14"/>
      <c r="D88" s="15">
        <f t="shared" si="10"/>
        <v>0</v>
      </c>
    </row>
    <row r="89" ht="16.800000000000001" customHeight="1">
      <c r="A89" s="12" t="s">
        <v>186</v>
      </c>
      <c r="B89" s="16">
        <v>26</v>
      </c>
      <c r="C89" s="17" t="s">
        <v>77</v>
      </c>
      <c r="D89" s="15">
        <f t="shared" si="10"/>
        <v>0</v>
      </c>
    </row>
    <row r="90" ht="16.800000000000001" customHeight="1">
      <c r="A90" s="12" t="s">
        <v>187</v>
      </c>
      <c r="B90" s="10"/>
      <c r="C90" s="11"/>
      <c r="D90" s="15">
        <f t="shared" si="10"/>
        <v>0</v>
      </c>
    </row>
    <row r="91" ht="16.800000000000001" customHeight="1">
      <c r="A91" s="12" t="s">
        <v>188</v>
      </c>
      <c r="B91" s="10"/>
      <c r="C91" s="11"/>
      <c r="D91" s="15">
        <f t="shared" si="10"/>
        <v>0</v>
      </c>
    </row>
    <row r="92" ht="16.800000000000001" customHeight="1">
      <c r="A92" s="12" t="s">
        <v>189</v>
      </c>
      <c r="B92" s="10"/>
      <c r="C92" s="11"/>
      <c r="D92" s="15">
        <f t="shared" si="10"/>
        <v>0</v>
      </c>
    </row>
    <row r="93" ht="16.800000000000001" customHeight="1">
      <c r="A93" s="12" t="s">
        <v>190</v>
      </c>
      <c r="B93" s="13"/>
      <c r="C93" s="14"/>
      <c r="D93" s="15">
        <f t="shared" si="10"/>
        <v>0</v>
      </c>
    </row>
    <row r="94" ht="16.800000000000001" customHeight="1">
      <c r="A94" s="12" t="s">
        <v>191</v>
      </c>
      <c r="B94" s="16">
        <v>27</v>
      </c>
      <c r="C94" s="20" t="s">
        <v>78</v>
      </c>
      <c r="D94" s="15">
        <f t="shared" si="10"/>
        <v>0</v>
      </c>
    </row>
    <row r="95" ht="16.800000000000001" customHeight="1">
      <c r="A95" s="12" t="s">
        <v>192</v>
      </c>
      <c r="B95" s="10"/>
      <c r="C95" s="24"/>
      <c r="D95" s="15">
        <f t="shared" si="10"/>
        <v>0</v>
      </c>
    </row>
    <row r="96" ht="16.800000000000001" customHeight="1">
      <c r="A96" s="12" t="s">
        <v>193</v>
      </c>
      <c r="B96" s="10"/>
      <c r="C96" s="24"/>
      <c r="D96" s="15">
        <f t="shared" si="10"/>
        <v>0</v>
      </c>
    </row>
    <row r="97" ht="16.800000000000001" customHeight="1">
      <c r="A97" s="12" t="s">
        <v>194</v>
      </c>
      <c r="B97" s="13"/>
      <c r="C97" s="9"/>
      <c r="D97" s="15">
        <f t="shared" si="10"/>
        <v>0</v>
      </c>
    </row>
    <row r="98" ht="16.800000000000001" customHeight="1">
      <c r="A98" s="12" t="s">
        <v>195</v>
      </c>
      <c r="B98" s="16">
        <v>28</v>
      </c>
      <c r="C98" s="20" t="s">
        <v>79</v>
      </c>
      <c r="D98" s="15">
        <f t="shared" si="10"/>
        <v>0</v>
      </c>
    </row>
    <row r="99" ht="16.800000000000001" customHeight="1">
      <c r="A99" s="12" t="s">
        <v>196</v>
      </c>
      <c r="B99" s="10"/>
      <c r="C99" s="24"/>
      <c r="D99" s="15">
        <f t="shared" si="10"/>
        <v>0</v>
      </c>
    </row>
    <row r="100" ht="16.800000000000001" customHeight="1">
      <c r="A100" s="12" t="s">
        <v>197</v>
      </c>
      <c r="B100" s="10"/>
      <c r="C100" s="24"/>
      <c r="D100" s="15">
        <f t="shared" ref="D100:D137" si="11">SUM(E100:AR100)</f>
        <v>0</v>
      </c>
    </row>
    <row r="101" ht="16.800000000000001" customHeight="1">
      <c r="A101" s="12" t="s">
        <v>198</v>
      </c>
      <c r="B101" s="10"/>
      <c r="C101" s="24"/>
      <c r="D101" s="15">
        <f t="shared" si="11"/>
        <v>0</v>
      </c>
    </row>
    <row r="102" ht="16.800000000000001" customHeight="1">
      <c r="A102" s="12" t="s">
        <v>199</v>
      </c>
      <c r="B102" s="13"/>
      <c r="C102" s="9"/>
      <c r="D102" s="15">
        <f t="shared" si="11"/>
        <v>0</v>
      </c>
    </row>
    <row r="103" ht="16.800000000000001" customHeight="1">
      <c r="A103" s="19" t="s">
        <v>200</v>
      </c>
      <c r="B103" s="16">
        <v>29</v>
      </c>
      <c r="C103" s="20" t="s">
        <v>80</v>
      </c>
      <c r="D103" s="15">
        <f t="shared" si="11"/>
        <v>0</v>
      </c>
    </row>
    <row r="104" ht="16.800000000000001" customHeight="1">
      <c r="A104" s="19" t="s">
        <v>201</v>
      </c>
      <c r="B104" s="10"/>
      <c r="C104" s="24"/>
      <c r="D104" s="15">
        <f t="shared" si="11"/>
        <v>0</v>
      </c>
    </row>
    <row r="105" ht="16.800000000000001" customHeight="1">
      <c r="A105" s="19" t="s">
        <v>202</v>
      </c>
      <c r="B105" s="13"/>
      <c r="C105" s="9"/>
      <c r="D105" s="15">
        <f t="shared" si="11"/>
        <v>0</v>
      </c>
    </row>
    <row r="106" ht="16.800000000000001" customHeight="1">
      <c r="A106" s="12" t="s">
        <v>203</v>
      </c>
      <c r="B106" s="16">
        <v>30</v>
      </c>
      <c r="C106" s="20" t="s">
        <v>81</v>
      </c>
      <c r="D106" s="15">
        <f t="shared" si="11"/>
        <v>0</v>
      </c>
    </row>
    <row r="107" ht="16.800000000000001" customHeight="1">
      <c r="A107" s="12" t="s">
        <v>204</v>
      </c>
      <c r="B107" s="10"/>
      <c r="C107" s="24"/>
      <c r="D107" s="15">
        <f t="shared" si="11"/>
        <v>0</v>
      </c>
    </row>
    <row r="108" ht="16.800000000000001" customHeight="1">
      <c r="A108" s="12" t="s">
        <v>205</v>
      </c>
      <c r="B108" s="10"/>
      <c r="C108" s="24"/>
      <c r="D108" s="15">
        <f t="shared" si="11"/>
        <v>0</v>
      </c>
    </row>
    <row r="109" ht="16.800000000000001" customHeight="1">
      <c r="A109" s="12" t="s">
        <v>206</v>
      </c>
      <c r="B109" s="10"/>
      <c r="C109" s="24"/>
      <c r="D109" s="15">
        <f t="shared" si="11"/>
        <v>0</v>
      </c>
    </row>
    <row r="110" ht="16.800000000000001" customHeight="1">
      <c r="A110" s="12" t="s">
        <v>207</v>
      </c>
      <c r="B110" s="13"/>
      <c r="C110" s="9"/>
      <c r="D110" s="15">
        <f t="shared" si="11"/>
        <v>0</v>
      </c>
    </row>
    <row r="111" ht="16.800000000000001" customHeight="1">
      <c r="A111" s="12" t="s">
        <v>208</v>
      </c>
      <c r="B111" s="16">
        <v>31</v>
      </c>
      <c r="C111" s="20" t="s">
        <v>82</v>
      </c>
      <c r="D111" s="15">
        <f t="shared" si="11"/>
        <v>0</v>
      </c>
    </row>
    <row r="112" ht="16.800000000000001" customHeight="1">
      <c r="A112" s="12" t="s">
        <v>209</v>
      </c>
      <c r="B112" s="13"/>
      <c r="C112" s="9"/>
      <c r="D112" s="15">
        <f t="shared" si="11"/>
        <v>0</v>
      </c>
    </row>
    <row r="113" ht="16.800000000000001" customHeight="1">
      <c r="A113" s="12" t="s">
        <v>210</v>
      </c>
      <c r="B113" s="22">
        <v>32</v>
      </c>
      <c r="C113" s="12" t="s">
        <v>83</v>
      </c>
      <c r="D113" s="15">
        <f t="shared" si="11"/>
        <v>0</v>
      </c>
    </row>
    <row r="114" ht="16.800000000000001" customHeight="1">
      <c r="A114" s="18" t="s">
        <v>211</v>
      </c>
      <c r="B114" s="16">
        <v>33</v>
      </c>
      <c r="C114" s="20" t="s">
        <v>84</v>
      </c>
      <c r="D114" s="15">
        <f t="shared" si="11"/>
        <v>0</v>
      </c>
    </row>
    <row r="115" ht="16.800000000000001" customHeight="1">
      <c r="A115" s="12" t="s">
        <v>212</v>
      </c>
      <c r="B115" s="13"/>
      <c r="C115" s="9"/>
      <c r="D115" s="15">
        <f t="shared" si="11"/>
        <v>0</v>
      </c>
    </row>
    <row r="116" ht="16.800000000000001" customHeight="1">
      <c r="A116" s="12" t="s">
        <v>213</v>
      </c>
      <c r="B116" s="16">
        <v>34</v>
      </c>
      <c r="C116" s="20" t="s">
        <v>214</v>
      </c>
      <c r="D116" s="15">
        <f t="shared" si="11"/>
        <v>0</v>
      </c>
    </row>
    <row r="117" ht="16.800000000000001" customHeight="1">
      <c r="A117" s="12" t="s">
        <v>215</v>
      </c>
      <c r="B117" s="13"/>
      <c r="C117" s="9"/>
      <c r="D117" s="15">
        <f t="shared" si="11"/>
        <v>0</v>
      </c>
    </row>
    <row r="118" ht="16.800000000000001" customHeight="1">
      <c r="A118" s="12" t="s">
        <v>216</v>
      </c>
      <c r="B118" s="16">
        <v>35</v>
      </c>
      <c r="C118" s="20" t="s">
        <v>86</v>
      </c>
      <c r="D118" s="15">
        <f t="shared" si="11"/>
        <v>0</v>
      </c>
    </row>
    <row r="119" ht="16.800000000000001" customHeight="1">
      <c r="A119" s="12" t="s">
        <v>217</v>
      </c>
      <c r="B119" s="10"/>
      <c r="C119" s="24"/>
      <c r="D119" s="15">
        <f t="shared" si="11"/>
        <v>0</v>
      </c>
    </row>
    <row r="120" ht="16.800000000000001" customHeight="1">
      <c r="A120" s="12" t="s">
        <v>218</v>
      </c>
      <c r="B120" s="10"/>
      <c r="C120" s="24"/>
      <c r="D120" s="15">
        <f t="shared" si="11"/>
        <v>0</v>
      </c>
    </row>
    <row r="121" ht="16.800000000000001" customHeight="1">
      <c r="A121" s="12" t="s">
        <v>219</v>
      </c>
      <c r="B121" s="13"/>
      <c r="C121" s="9"/>
      <c r="D121" s="15">
        <f t="shared" si="11"/>
        <v>0</v>
      </c>
    </row>
    <row r="122" ht="16.800000000000001" customHeight="1">
      <c r="A122" s="12" t="s">
        <v>220</v>
      </c>
      <c r="B122" s="16">
        <v>36</v>
      </c>
      <c r="C122" s="20" t="s">
        <v>87</v>
      </c>
      <c r="D122" s="15">
        <f t="shared" si="11"/>
        <v>0</v>
      </c>
    </row>
    <row r="123" ht="16.800000000000001" customHeight="1">
      <c r="A123" s="12" t="s">
        <v>221</v>
      </c>
      <c r="B123" s="10"/>
      <c r="C123" s="24"/>
      <c r="D123" s="15">
        <f t="shared" si="11"/>
        <v>0</v>
      </c>
    </row>
    <row r="124" ht="16.800000000000001" customHeight="1">
      <c r="A124" s="12" t="s">
        <v>222</v>
      </c>
      <c r="B124" s="13"/>
      <c r="C124" s="9"/>
      <c r="D124" s="15">
        <f t="shared" si="11"/>
        <v>0</v>
      </c>
    </row>
    <row r="125" ht="16.800000000000001" customHeight="1">
      <c r="A125" s="25" t="s">
        <v>223</v>
      </c>
      <c r="B125" s="22">
        <v>37</v>
      </c>
      <c r="C125" s="18" t="s">
        <v>88</v>
      </c>
      <c r="D125" s="15">
        <f t="shared" si="11"/>
        <v>0</v>
      </c>
    </row>
    <row r="126" ht="16.800000000000001" customHeight="1">
      <c r="A126" s="12" t="s">
        <v>224</v>
      </c>
      <c r="B126" s="16">
        <v>38</v>
      </c>
      <c r="C126" s="17" t="s">
        <v>89</v>
      </c>
      <c r="D126" s="15">
        <f t="shared" si="11"/>
        <v>0</v>
      </c>
    </row>
    <row r="127" ht="16.800000000000001" customHeight="1">
      <c r="A127" s="12" t="s">
        <v>225</v>
      </c>
      <c r="B127" s="10"/>
      <c r="C127" s="11"/>
      <c r="D127" s="15">
        <f t="shared" si="11"/>
        <v>0</v>
      </c>
    </row>
    <row r="128" ht="16.800000000000001" customHeight="1">
      <c r="A128" s="12" t="s">
        <v>226</v>
      </c>
      <c r="B128" s="13"/>
      <c r="C128" s="14"/>
      <c r="D128" s="15">
        <f t="shared" si="11"/>
        <v>0</v>
      </c>
    </row>
    <row r="129" ht="16.800000000000001" customHeight="1">
      <c r="A129" s="12" t="s">
        <v>227</v>
      </c>
      <c r="B129" s="16">
        <v>39</v>
      </c>
      <c r="C129" s="17" t="s">
        <v>90</v>
      </c>
      <c r="D129" s="15">
        <f t="shared" si="11"/>
        <v>0</v>
      </c>
    </row>
    <row r="130" ht="16.800000000000001" customHeight="1">
      <c r="A130" s="12" t="s">
        <v>228</v>
      </c>
      <c r="B130" s="10"/>
      <c r="C130" s="11"/>
      <c r="D130" s="15">
        <f t="shared" si="11"/>
        <v>0</v>
      </c>
    </row>
    <row r="131" ht="16.800000000000001" customHeight="1">
      <c r="A131" s="12" t="s">
        <v>229</v>
      </c>
      <c r="B131" s="13"/>
      <c r="C131" s="14"/>
      <c r="D131" s="15">
        <f t="shared" si="11"/>
        <v>0</v>
      </c>
    </row>
    <row r="132" ht="16.800000000000001" customHeight="1">
      <c r="A132" s="12" t="s">
        <v>230</v>
      </c>
      <c r="B132" s="16">
        <v>40</v>
      </c>
      <c r="C132" s="17" t="s">
        <v>91</v>
      </c>
      <c r="D132" s="15">
        <f t="shared" si="11"/>
        <v>0</v>
      </c>
    </row>
    <row r="133" ht="16.800000000000001" customHeight="1">
      <c r="A133" s="12" t="s">
        <v>231</v>
      </c>
      <c r="B133" s="13"/>
      <c r="C133" s="18"/>
      <c r="D133" s="15">
        <f t="shared" si="11"/>
        <v>0</v>
      </c>
    </row>
    <row r="134" ht="16.800000000000001" customHeight="1">
      <c r="A134" s="12" t="s">
        <v>232</v>
      </c>
      <c r="B134" s="16">
        <v>41</v>
      </c>
      <c r="C134" s="17" t="s">
        <v>92</v>
      </c>
      <c r="D134" s="15">
        <f t="shared" si="11"/>
        <v>0</v>
      </c>
    </row>
    <row r="135" ht="16.800000000000001" customHeight="1">
      <c r="A135" s="12" t="s">
        <v>233</v>
      </c>
      <c r="B135" s="10"/>
      <c r="C135" s="11"/>
      <c r="D135" s="15">
        <f t="shared" si="11"/>
        <v>0</v>
      </c>
    </row>
    <row r="136" ht="16.800000000000001" customHeight="1">
      <c r="A136" s="12" t="s">
        <v>234</v>
      </c>
      <c r="B136" s="13"/>
      <c r="C136" s="14"/>
      <c r="D136" s="15">
        <f t="shared" si="11"/>
        <v>0</v>
      </c>
    </row>
    <row r="137" ht="16.800000000000001" customHeight="1">
      <c r="A137" s="25" t="s">
        <v>223</v>
      </c>
      <c r="B137" s="22">
        <v>42</v>
      </c>
      <c r="C137" s="18" t="s">
        <v>93</v>
      </c>
      <c r="D137" s="15">
        <f t="shared" si="11"/>
        <v>0</v>
      </c>
    </row>
  </sheetData>
  <mergeCells count="72">
    <mergeCell ref="B4:B5"/>
    <mergeCell ref="C4:C5"/>
    <mergeCell ref="B6:B9"/>
    <mergeCell ref="C6:C9"/>
    <mergeCell ref="B10:B11"/>
    <mergeCell ref="C10:C11"/>
    <mergeCell ref="B12:B15"/>
    <mergeCell ref="C12:C15"/>
    <mergeCell ref="B16:B21"/>
    <mergeCell ref="C16:C21"/>
    <mergeCell ref="B22:B26"/>
    <mergeCell ref="C22:C26"/>
    <mergeCell ref="B27:B28"/>
    <mergeCell ref="C27:C28"/>
    <mergeCell ref="B29:B40"/>
    <mergeCell ref="C29:C40"/>
    <mergeCell ref="B41:B43"/>
    <mergeCell ref="C41:C43"/>
    <mergeCell ref="B44:B45"/>
    <mergeCell ref="C44:C45"/>
    <mergeCell ref="B47:B51"/>
    <mergeCell ref="C47:C51"/>
    <mergeCell ref="B52:B53"/>
    <mergeCell ref="C52:C53"/>
    <mergeCell ref="B54:B56"/>
    <mergeCell ref="C54:C56"/>
    <mergeCell ref="B57:B62"/>
    <mergeCell ref="C57:C62"/>
    <mergeCell ref="B63:B66"/>
    <mergeCell ref="C63:C66"/>
    <mergeCell ref="B67:B68"/>
    <mergeCell ref="C67:C68"/>
    <mergeCell ref="B69:B71"/>
    <mergeCell ref="C69:C71"/>
    <mergeCell ref="B72:B74"/>
    <mergeCell ref="C72:C74"/>
    <mergeCell ref="B75:B79"/>
    <mergeCell ref="C75:C79"/>
    <mergeCell ref="B81:B82"/>
    <mergeCell ref="C81:C82"/>
    <mergeCell ref="B84:B86"/>
    <mergeCell ref="C84:C86"/>
    <mergeCell ref="B87:B88"/>
    <mergeCell ref="C87:C88"/>
    <mergeCell ref="B89:B93"/>
    <mergeCell ref="C89:C93"/>
    <mergeCell ref="B94:B97"/>
    <mergeCell ref="C94:C97"/>
    <mergeCell ref="B98:B102"/>
    <mergeCell ref="C98:C102"/>
    <mergeCell ref="B103:B105"/>
    <mergeCell ref="C103:C105"/>
    <mergeCell ref="B106:B110"/>
    <mergeCell ref="C106:C110"/>
    <mergeCell ref="B111:B112"/>
    <mergeCell ref="C111:C112"/>
    <mergeCell ref="B114:B115"/>
    <mergeCell ref="C114:C115"/>
    <mergeCell ref="B116:B117"/>
    <mergeCell ref="C116:C117"/>
    <mergeCell ref="B118:B121"/>
    <mergeCell ref="C118:C121"/>
    <mergeCell ref="B122:B124"/>
    <mergeCell ref="C122:C124"/>
    <mergeCell ref="B126:B128"/>
    <mergeCell ref="C126:C128"/>
    <mergeCell ref="B129:B131"/>
    <mergeCell ref="C129:C131"/>
    <mergeCell ref="B132:B133"/>
    <mergeCell ref="C132:C133"/>
    <mergeCell ref="B134:B136"/>
    <mergeCell ref="C134:C136"/>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2" topLeftCell="B3" activePane="bottomRight" state="frozen"/>
      <selection activeCell="A1" activeCellId="0" sqref="A1"/>
    </sheetView>
  </sheetViews>
  <sheetFormatPr defaultRowHeight="14.25"/>
  <cols>
    <col customWidth="1" min="1" max="1" width="4.7109375"/>
    <col customWidth="1" min="2" max="2" width="32.421875"/>
    <col customWidth="1" min="3" max="6" width="12.8515625"/>
    <col customWidth="1" min="7" max="7" width="13.28125"/>
    <col customWidth="1" min="8" max="47" width="3.28125"/>
    <col customWidth="1" min="48" max="48" width="13.28125"/>
    <col customWidth="1" min="49" max="88" width="3.28125"/>
  </cols>
  <sheetData>
    <row r="1">
      <c r="A1" s="1"/>
      <c r="C1" s="1" t="s">
        <v>43</v>
      </c>
      <c r="G1" s="1" t="s">
        <v>11</v>
      </c>
      <c r="H1" s="1">
        <v>1</v>
      </c>
      <c r="I1" s="1">
        <v>2</v>
      </c>
      <c r="J1" s="1">
        <v>3</v>
      </c>
      <c r="K1" s="1">
        <v>4</v>
      </c>
      <c r="L1" s="1">
        <v>5</v>
      </c>
      <c r="M1" s="1">
        <v>6</v>
      </c>
      <c r="N1" s="1">
        <v>7</v>
      </c>
      <c r="O1" s="1">
        <v>8</v>
      </c>
      <c r="P1" s="1">
        <v>9</v>
      </c>
      <c r="Q1" s="1">
        <v>10</v>
      </c>
      <c r="R1" s="1">
        <v>11</v>
      </c>
      <c r="S1" s="1">
        <v>12</v>
      </c>
      <c r="T1" s="1">
        <v>13</v>
      </c>
      <c r="U1" s="1">
        <v>14</v>
      </c>
      <c r="V1" s="1">
        <v>15</v>
      </c>
      <c r="W1" s="1">
        <v>16</v>
      </c>
      <c r="X1" s="1">
        <v>17</v>
      </c>
      <c r="Y1" s="1">
        <v>18</v>
      </c>
      <c r="Z1" s="1">
        <v>19</v>
      </c>
      <c r="AA1" s="1">
        <v>20</v>
      </c>
      <c r="AB1" s="1">
        <v>21</v>
      </c>
      <c r="AC1" s="1">
        <v>22</v>
      </c>
      <c r="AD1" s="1">
        <v>23</v>
      </c>
      <c r="AE1" s="1">
        <v>24</v>
      </c>
      <c r="AF1" s="1">
        <v>25</v>
      </c>
      <c r="AG1" s="1">
        <v>26</v>
      </c>
      <c r="AH1" s="1">
        <v>27</v>
      </c>
      <c r="AI1" s="1">
        <v>28</v>
      </c>
      <c r="AJ1" s="1">
        <v>29</v>
      </c>
      <c r="AK1" s="1">
        <v>30</v>
      </c>
      <c r="AL1" s="1">
        <v>31</v>
      </c>
      <c r="AM1" s="1">
        <v>32</v>
      </c>
      <c r="AN1" s="1">
        <v>33</v>
      </c>
      <c r="AO1" s="1">
        <v>34</v>
      </c>
      <c r="AP1" s="1">
        <v>35</v>
      </c>
      <c r="AQ1" s="1">
        <v>36</v>
      </c>
      <c r="AR1" s="1">
        <v>37</v>
      </c>
      <c r="AS1" s="1">
        <v>38</v>
      </c>
      <c r="AT1" s="1">
        <v>39</v>
      </c>
      <c r="AU1" s="1">
        <v>40</v>
      </c>
      <c r="AV1" s="1" t="s">
        <v>11</v>
      </c>
      <c r="AW1" s="1">
        <v>1</v>
      </c>
      <c r="AX1" s="1">
        <v>2</v>
      </c>
      <c r="AY1" s="1">
        <v>3</v>
      </c>
      <c r="AZ1" s="1">
        <v>4</v>
      </c>
      <c r="BA1" s="1">
        <v>5</v>
      </c>
      <c r="BB1" s="1">
        <v>6</v>
      </c>
      <c r="BC1" s="1">
        <v>7</v>
      </c>
      <c r="BD1" s="1">
        <v>8</v>
      </c>
      <c r="BE1" s="1">
        <v>9</v>
      </c>
      <c r="BF1" s="1">
        <v>10</v>
      </c>
      <c r="BG1" s="1">
        <v>11</v>
      </c>
      <c r="BH1" s="1">
        <v>12</v>
      </c>
      <c r="BI1" s="1">
        <v>13</v>
      </c>
      <c r="BJ1" s="1">
        <v>14</v>
      </c>
      <c r="BK1" s="1">
        <v>15</v>
      </c>
      <c r="BL1" s="1">
        <v>16</v>
      </c>
      <c r="BM1" s="1">
        <v>17</v>
      </c>
      <c r="BN1" s="1">
        <v>18</v>
      </c>
      <c r="BO1" s="1">
        <v>19</v>
      </c>
      <c r="BP1" s="1">
        <v>20</v>
      </c>
      <c r="BQ1" s="1">
        <v>21</v>
      </c>
      <c r="BR1" s="1">
        <v>22</v>
      </c>
      <c r="BS1" s="1">
        <v>23</v>
      </c>
      <c r="BT1" s="1">
        <v>24</v>
      </c>
      <c r="BU1" s="1">
        <v>25</v>
      </c>
      <c r="BV1" s="1">
        <v>26</v>
      </c>
      <c r="BW1" s="1">
        <v>27</v>
      </c>
      <c r="BX1" s="1">
        <v>28</v>
      </c>
      <c r="BY1" s="1">
        <v>29</v>
      </c>
      <c r="BZ1" s="1">
        <v>30</v>
      </c>
      <c r="CA1" s="1">
        <v>31</v>
      </c>
      <c r="CB1" s="1">
        <v>32</v>
      </c>
      <c r="CC1" s="1">
        <v>33</v>
      </c>
      <c r="CD1" s="1">
        <v>34</v>
      </c>
      <c r="CE1" s="1">
        <v>35</v>
      </c>
      <c r="CF1" s="1">
        <v>36</v>
      </c>
      <c r="CG1" s="1">
        <v>37</v>
      </c>
      <c r="CH1" s="1">
        <v>38</v>
      </c>
      <c r="CI1" s="1">
        <v>39</v>
      </c>
      <c r="CJ1" s="1">
        <v>40</v>
      </c>
    </row>
    <row r="2">
      <c r="A2" s="1"/>
      <c r="C2" s="1"/>
      <c r="G2" s="1" t="s">
        <v>45</v>
      </c>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t="s">
        <v>45</v>
      </c>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row>
    <row r="3">
      <c r="A3" s="1" t="s">
        <v>10</v>
      </c>
      <c r="B3" s="1" t="s">
        <v>46</v>
      </c>
      <c r="C3" s="1" t="s">
        <v>235</v>
      </c>
      <c r="D3" s="1" t="s">
        <v>236</v>
      </c>
      <c r="E3" s="1" t="s">
        <v>237</v>
      </c>
      <c r="F3" s="1" t="s">
        <v>238</v>
      </c>
      <c r="G3" s="1" t="s">
        <v>239</v>
      </c>
      <c r="H3" s="6">
        <f>COUNTIF(H4:H45,"&gt;=2")</f>
        <v>0</v>
      </c>
      <c r="I3" s="6">
        <f>COUNTIF(I4:I45,"&gt;=2")</f>
        <v>0</v>
      </c>
      <c r="J3" s="6">
        <f>COUNTIF(J4:J45,"&gt;=2")</f>
        <v>0</v>
      </c>
      <c r="K3" s="6">
        <f>COUNTIF(K4:K45,"&gt;=2")</f>
        <v>0</v>
      </c>
      <c r="L3" s="6">
        <f>COUNTIF(L4:L45,"&gt;=2")</f>
        <v>0</v>
      </c>
      <c r="M3" s="6">
        <f>COUNTIF(M4:M45,"&gt;=2")</f>
        <v>0</v>
      </c>
      <c r="N3" s="6">
        <f>COUNTIF(N4:N45,"&gt;=2")</f>
        <v>0</v>
      </c>
      <c r="O3" s="6">
        <f>COUNTIF(O4:O45,"&gt;=2")</f>
        <v>0</v>
      </c>
      <c r="P3" s="6">
        <f>COUNTIF(P4:P45,"&gt;=2")</f>
        <v>0</v>
      </c>
      <c r="Q3" s="6">
        <f>COUNTIF(Q4:Q45,"&gt;=2")</f>
        <v>0</v>
      </c>
      <c r="R3" s="6">
        <f>COUNTIF(R4:R45,"&gt;=2")</f>
        <v>0</v>
      </c>
      <c r="S3" s="6">
        <f>COUNTIF(S4:S45,"&gt;=2")</f>
        <v>0</v>
      </c>
      <c r="T3" s="6">
        <f>COUNTIF(T4:T45,"&gt;=2")</f>
        <v>0</v>
      </c>
      <c r="U3" s="6">
        <f>COUNTIF(U4:U45,"&gt;=2")</f>
        <v>0</v>
      </c>
      <c r="V3" s="6">
        <f>COUNTIF(V4:V45,"&gt;=2")</f>
        <v>0</v>
      </c>
      <c r="W3" s="6">
        <f>COUNTIF(W4:W45,"&gt;=2")</f>
        <v>0</v>
      </c>
      <c r="X3" s="6">
        <f>COUNTIF(X4:X45,"&gt;=2")</f>
        <v>0</v>
      </c>
      <c r="Y3" s="6">
        <f>COUNTIF(Y4:Y45,"&gt;=2")</f>
        <v>0</v>
      </c>
      <c r="Z3" s="6">
        <f>COUNTIF(Z4:Z45,"&gt;=2")</f>
        <v>0</v>
      </c>
      <c r="AA3" s="6">
        <f>COUNTIF(AA4:AA45,"&gt;=2")</f>
        <v>0</v>
      </c>
      <c r="AB3" s="6">
        <f>COUNTIF(AB4:AB45,"&gt;=2")</f>
        <v>0</v>
      </c>
      <c r="AC3" s="6">
        <f>COUNTIF(AC4:AC45,"&gt;=2")</f>
        <v>0</v>
      </c>
      <c r="AD3" s="6">
        <f>COUNTIF(AD4:AD45,"&gt;=2")</f>
        <v>0</v>
      </c>
      <c r="AE3" s="6">
        <f>COUNTIF(AE4:AE45,"&gt;=2")</f>
        <v>0</v>
      </c>
      <c r="AF3" s="6">
        <f>COUNTIF(AF4:AF45,"&gt;=2")</f>
        <v>0</v>
      </c>
      <c r="AG3" s="6">
        <f>COUNTIF(AG4:AG45,"&gt;=2")</f>
        <v>0</v>
      </c>
      <c r="AH3" s="6">
        <f>COUNTIF(AH4:AH45,"&gt;=2")</f>
        <v>0</v>
      </c>
      <c r="AI3" s="6">
        <f>COUNTIF(AI4:AI45,"&gt;=2")</f>
        <v>0</v>
      </c>
      <c r="AJ3" s="6">
        <f>COUNTIF(AJ4:AJ45,"&gt;=2")</f>
        <v>0</v>
      </c>
      <c r="AK3" s="6">
        <f>COUNTIF(AK4:AK45,"&gt;=2")</f>
        <v>0</v>
      </c>
      <c r="AL3" s="6">
        <f>COUNTIF(AL4:AL45,"&gt;=2")</f>
        <v>0</v>
      </c>
      <c r="AM3" s="6">
        <f>COUNTIF(AM4:AM45,"&gt;=2")</f>
        <v>0</v>
      </c>
      <c r="AN3" s="6">
        <f>COUNTIF(AN4:AN45,"&gt;=2")</f>
        <v>0</v>
      </c>
      <c r="AO3" s="6">
        <f>COUNTIF(AO4:AO45,"&gt;=2")</f>
        <v>0</v>
      </c>
      <c r="AP3" s="6">
        <f>COUNTIF(AP4:AP45,"&gt;=2")</f>
        <v>0</v>
      </c>
      <c r="AQ3" s="6">
        <f>COUNTIF(AQ4:AQ45,"&gt;=2")</f>
        <v>0</v>
      </c>
      <c r="AR3" s="6">
        <f>COUNTIF(AR4:AR45,"&gt;=2")</f>
        <v>0</v>
      </c>
      <c r="AS3" s="6">
        <f>COUNTIF(AS4:AS45,"&gt;=2")</f>
        <v>0</v>
      </c>
      <c r="AT3" s="6">
        <f>COUNTIF(AT4:AT45,"&gt;=2")</f>
        <v>0</v>
      </c>
      <c r="AU3" s="6">
        <f>COUNTIF(AU4:AU45,"&gt;=2")</f>
        <v>0</v>
      </c>
      <c r="AV3" s="1" t="s">
        <v>0</v>
      </c>
      <c r="AW3" s="6">
        <f>COUNTA(AW4:AW45)</f>
        <v>0</v>
      </c>
      <c r="AX3" s="6">
        <f>COUNTA(AX4:AX45)</f>
        <v>0</v>
      </c>
      <c r="AY3" s="6">
        <f>COUNTA(AY4:AY45)</f>
        <v>0</v>
      </c>
      <c r="AZ3" s="6">
        <f>COUNTA(AZ4:AZ45)</f>
        <v>0</v>
      </c>
      <c r="BA3" s="6">
        <f>COUNTA(BA4:BA45)</f>
        <v>0</v>
      </c>
      <c r="BB3" s="6">
        <f>COUNTA(BB4:BB45)</f>
        <v>0</v>
      </c>
      <c r="BC3" s="6">
        <f>COUNTA(BC4:BC45)</f>
        <v>0</v>
      </c>
      <c r="BD3" s="6">
        <f>COUNTA(BD4:BD45)</f>
        <v>0</v>
      </c>
      <c r="BE3" s="6">
        <f>COUNTA(BE4:BE45)</f>
        <v>0</v>
      </c>
      <c r="BF3" s="6">
        <f>COUNTA(BF4:BF45)</f>
        <v>0</v>
      </c>
      <c r="BG3" s="6">
        <f>COUNTA(BG4:BG45)</f>
        <v>0</v>
      </c>
      <c r="BH3" s="6">
        <f>COUNTA(BH4:BH45)</f>
        <v>0</v>
      </c>
      <c r="BI3" s="6">
        <f>COUNTA(BI4:BI45)</f>
        <v>0</v>
      </c>
      <c r="BJ3" s="6">
        <f>COUNTA(BJ4:BJ45)</f>
        <v>0</v>
      </c>
      <c r="BK3" s="6">
        <f>COUNTA(BK4:BK45)</f>
        <v>0</v>
      </c>
      <c r="BL3" s="6">
        <f>COUNTA(BL4:BL45)</f>
        <v>0</v>
      </c>
      <c r="BM3" s="6">
        <f>COUNTA(BM4:BM45)</f>
        <v>0</v>
      </c>
      <c r="BN3" s="6">
        <f>COUNTA(BN4:BN45)</f>
        <v>0</v>
      </c>
      <c r="BO3" s="6">
        <f>COUNTA(BO4:BO45)</f>
        <v>0</v>
      </c>
      <c r="BP3" s="6">
        <f>COUNTA(BP4:BP45)</f>
        <v>0</v>
      </c>
      <c r="BQ3" s="6">
        <f>COUNTA(BQ4:BQ45)</f>
        <v>0</v>
      </c>
      <c r="BR3" s="6">
        <f>COUNTA(BR4:BR45)</f>
        <v>0</v>
      </c>
      <c r="BS3" s="6">
        <f>COUNTA(BS4:BS45)</f>
        <v>0</v>
      </c>
      <c r="BT3" s="6">
        <f>COUNTA(BT4:BT45)</f>
        <v>0</v>
      </c>
      <c r="BU3" s="6">
        <f>COUNTA(BU4:BU45)</f>
        <v>0</v>
      </c>
      <c r="BV3" s="6">
        <f>COUNTA(BV4:BV45)</f>
        <v>0</v>
      </c>
      <c r="BW3" s="6">
        <f>COUNTA(BW4:BW45)</f>
        <v>0</v>
      </c>
      <c r="BX3" s="6">
        <f>COUNTA(BX4:BX45)</f>
        <v>0</v>
      </c>
      <c r="BY3" s="6">
        <f>COUNTA(BY4:BY45)</f>
        <v>0</v>
      </c>
      <c r="BZ3" s="6">
        <f>COUNTA(BZ4:BZ45)</f>
        <v>0</v>
      </c>
      <c r="CA3" s="6">
        <f>COUNTA(CA4:CA45)</f>
        <v>0</v>
      </c>
      <c r="CB3" s="6">
        <f>COUNTA(CB4:CB45)</f>
        <v>0</v>
      </c>
      <c r="CC3" s="6">
        <f>COUNTA(CC4:CC45)</f>
        <v>0</v>
      </c>
      <c r="CD3" s="6">
        <f>COUNTA(CD4:CD45)</f>
        <v>0</v>
      </c>
      <c r="CE3" s="6">
        <f>COUNTA(CE4:CE45)</f>
        <v>0</v>
      </c>
      <c r="CF3" s="6">
        <f>COUNTA(CF4:CF45)</f>
        <v>0</v>
      </c>
      <c r="CG3" s="6">
        <f>COUNTA(CG4:CG45)</f>
        <v>0</v>
      </c>
      <c r="CH3" s="6">
        <f>COUNTA(CH4:CH45)</f>
        <v>0</v>
      </c>
      <c r="CI3" s="6">
        <f>COUNTA(CI4:CI45)</f>
        <v>0</v>
      </c>
      <c r="CJ3" s="6">
        <f>COUNTA(CJ4:CJ45)</f>
        <v>0</v>
      </c>
    </row>
    <row r="4">
      <c r="A4">
        <v>1</v>
      </c>
      <c r="B4" t="s">
        <v>52</v>
      </c>
      <c r="C4" s="6">
        <f t="shared" ref="C4:C9" si="12">COUNTIF($H4:$AU4,"=0")</f>
        <v>0</v>
      </c>
      <c r="D4" s="6">
        <f t="shared" ref="D4:D9" si="13">COUNTIF($H4:$AU4,"=1")</f>
        <v>0</v>
      </c>
      <c r="E4" s="6">
        <f t="shared" ref="E4:E9" si="14">COUNTIF($H4:$AU4,"=2")</f>
        <v>0</v>
      </c>
      <c r="F4" s="6">
        <f t="shared" ref="F4:F9" si="15">COUNTIF($H4:$AU4,"=3")</f>
        <v>0</v>
      </c>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row>
    <row r="5">
      <c r="A5">
        <v>2</v>
      </c>
      <c r="B5" t="s">
        <v>53</v>
      </c>
      <c r="C5" s="6">
        <f t="shared" si="12"/>
        <v>0</v>
      </c>
      <c r="D5" s="6">
        <f t="shared" si="13"/>
        <v>0</v>
      </c>
      <c r="E5" s="6">
        <f t="shared" si="14"/>
        <v>0</v>
      </c>
      <c r="F5" s="6">
        <f t="shared" si="15"/>
        <v>0</v>
      </c>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row>
    <row r="6">
      <c r="A6">
        <v>3</v>
      </c>
      <c r="B6" t="s">
        <v>54</v>
      </c>
      <c r="C6" s="6">
        <f t="shared" si="12"/>
        <v>0</v>
      </c>
      <c r="D6" s="6">
        <f t="shared" si="13"/>
        <v>0</v>
      </c>
      <c r="E6" s="6">
        <f t="shared" si="14"/>
        <v>0</v>
      </c>
      <c r="F6" s="6">
        <f t="shared" si="15"/>
        <v>0</v>
      </c>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row>
    <row r="7">
      <c r="A7">
        <v>4</v>
      </c>
      <c r="B7" t="s">
        <v>55</v>
      </c>
      <c r="C7" s="6">
        <f t="shared" si="12"/>
        <v>0</v>
      </c>
      <c r="D7" s="6">
        <f t="shared" si="13"/>
        <v>0</v>
      </c>
      <c r="E7" s="6">
        <f t="shared" si="14"/>
        <v>0</v>
      </c>
      <c r="F7" s="6">
        <f t="shared" si="15"/>
        <v>0</v>
      </c>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row>
    <row r="8">
      <c r="A8">
        <v>5</v>
      </c>
      <c r="B8" t="s">
        <v>56</v>
      </c>
      <c r="C8" s="6">
        <f t="shared" si="12"/>
        <v>0</v>
      </c>
      <c r="D8" s="6">
        <f t="shared" si="13"/>
        <v>0</v>
      </c>
      <c r="E8" s="6">
        <f t="shared" si="14"/>
        <v>0</v>
      </c>
      <c r="F8" s="6">
        <f t="shared" si="15"/>
        <v>0</v>
      </c>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row>
    <row r="9">
      <c r="A9">
        <v>6</v>
      </c>
      <c r="B9" t="s">
        <v>57</v>
      </c>
      <c r="C9" s="6">
        <f t="shared" si="12"/>
        <v>0</v>
      </c>
      <c r="D9" s="6">
        <f t="shared" si="13"/>
        <v>0</v>
      </c>
      <c r="E9" s="6">
        <f t="shared" si="14"/>
        <v>0</v>
      </c>
      <c r="F9" s="6">
        <f t="shared" si="15"/>
        <v>0</v>
      </c>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row>
    <row r="10">
      <c r="A10">
        <v>7</v>
      </c>
      <c r="B10" t="s">
        <v>58</v>
      </c>
      <c r="C10" s="6">
        <f t="shared" ref="C10:C45" si="16">COUNTIF($H10:$AU10,"=0")</f>
        <v>0</v>
      </c>
      <c r="D10" s="6">
        <f t="shared" ref="D10:D45" si="17">COUNTIF($H10:$AU10,"=1")</f>
        <v>0</v>
      </c>
      <c r="E10" s="6">
        <f t="shared" ref="E10:E45" si="18">COUNTIF($H10:$AU10,"=2")</f>
        <v>0</v>
      </c>
      <c r="F10" s="6">
        <f t="shared" ref="F10:F45" si="19">COUNTIF($H10:$AU10,"=3")</f>
        <v>0</v>
      </c>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row>
    <row r="11">
      <c r="A11">
        <v>8</v>
      </c>
      <c r="B11" t="s">
        <v>59</v>
      </c>
      <c r="C11" s="6">
        <f t="shared" si="16"/>
        <v>0</v>
      </c>
      <c r="D11" s="6">
        <f t="shared" si="17"/>
        <v>0</v>
      </c>
      <c r="E11" s="6">
        <f t="shared" si="18"/>
        <v>0</v>
      </c>
      <c r="F11" s="6">
        <f t="shared" si="19"/>
        <v>0</v>
      </c>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row>
    <row r="12">
      <c r="A12">
        <v>9</v>
      </c>
      <c r="B12" t="s">
        <v>60</v>
      </c>
      <c r="C12" s="6">
        <f t="shared" si="16"/>
        <v>0</v>
      </c>
      <c r="D12" s="6">
        <f t="shared" si="17"/>
        <v>0</v>
      </c>
      <c r="E12" s="6">
        <f t="shared" si="18"/>
        <v>0</v>
      </c>
      <c r="F12" s="6">
        <f t="shared" si="19"/>
        <v>0</v>
      </c>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row>
    <row r="13">
      <c r="A13">
        <v>10</v>
      </c>
      <c r="B13" t="s">
        <v>61</v>
      </c>
      <c r="C13" s="6">
        <f t="shared" si="16"/>
        <v>0</v>
      </c>
      <c r="D13" s="6">
        <f t="shared" si="17"/>
        <v>0</v>
      </c>
      <c r="E13" s="6">
        <f t="shared" si="18"/>
        <v>0</v>
      </c>
      <c r="F13" s="6">
        <f t="shared" si="19"/>
        <v>0</v>
      </c>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row>
    <row r="14">
      <c r="A14">
        <v>11</v>
      </c>
      <c r="B14" t="s">
        <v>62</v>
      </c>
      <c r="C14" s="6">
        <f t="shared" si="16"/>
        <v>0</v>
      </c>
      <c r="D14" s="6">
        <f t="shared" si="17"/>
        <v>0</v>
      </c>
      <c r="E14" s="6">
        <f t="shared" si="18"/>
        <v>0</v>
      </c>
      <c r="F14" s="6">
        <f t="shared" si="19"/>
        <v>0</v>
      </c>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row>
    <row r="15">
      <c r="A15">
        <v>12</v>
      </c>
      <c r="B15" t="s">
        <v>63</v>
      </c>
      <c r="C15" s="6">
        <f t="shared" si="16"/>
        <v>0</v>
      </c>
      <c r="D15" s="6">
        <f t="shared" si="17"/>
        <v>0</v>
      </c>
      <c r="E15" s="6">
        <f t="shared" si="18"/>
        <v>0</v>
      </c>
      <c r="F15" s="6">
        <f t="shared" si="19"/>
        <v>0</v>
      </c>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row>
    <row r="16">
      <c r="A16">
        <v>13</v>
      </c>
      <c r="B16" t="s">
        <v>64</v>
      </c>
      <c r="C16" s="6">
        <f t="shared" si="16"/>
        <v>0</v>
      </c>
      <c r="D16" s="6">
        <f t="shared" si="17"/>
        <v>0</v>
      </c>
      <c r="E16" s="6">
        <f t="shared" si="18"/>
        <v>0</v>
      </c>
      <c r="F16" s="6">
        <f t="shared" si="19"/>
        <v>0</v>
      </c>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row>
    <row r="17">
      <c r="A17">
        <v>14</v>
      </c>
      <c r="B17" t="s">
        <v>240</v>
      </c>
      <c r="C17" s="6">
        <f t="shared" si="16"/>
        <v>0</v>
      </c>
      <c r="D17" s="6">
        <f t="shared" si="17"/>
        <v>0</v>
      </c>
      <c r="E17" s="6">
        <f t="shared" si="18"/>
        <v>0</v>
      </c>
      <c r="F17" s="6">
        <f t="shared" si="19"/>
        <v>0</v>
      </c>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row>
    <row r="18">
      <c r="A18">
        <v>15</v>
      </c>
      <c r="B18" t="s">
        <v>66</v>
      </c>
      <c r="C18" s="6">
        <f t="shared" si="16"/>
        <v>0</v>
      </c>
      <c r="D18" s="6">
        <f t="shared" si="17"/>
        <v>0</v>
      </c>
      <c r="E18" s="6">
        <f t="shared" si="18"/>
        <v>0</v>
      </c>
      <c r="F18" s="6">
        <f t="shared" si="19"/>
        <v>0</v>
      </c>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row>
    <row r="19">
      <c r="A19">
        <v>16</v>
      </c>
      <c r="B19" t="s">
        <v>67</v>
      </c>
      <c r="C19" s="6">
        <f t="shared" si="16"/>
        <v>0</v>
      </c>
      <c r="D19" s="6">
        <f t="shared" si="17"/>
        <v>0</v>
      </c>
      <c r="E19" s="6">
        <f t="shared" si="18"/>
        <v>0</v>
      </c>
      <c r="F19" s="6">
        <f t="shared" si="19"/>
        <v>0</v>
      </c>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row>
    <row r="20">
      <c r="A20">
        <v>17</v>
      </c>
      <c r="B20" t="s">
        <v>68</v>
      </c>
      <c r="C20" s="6">
        <f t="shared" si="16"/>
        <v>0</v>
      </c>
      <c r="D20" s="6">
        <f t="shared" si="17"/>
        <v>0</v>
      </c>
      <c r="E20" s="6">
        <f t="shared" si="18"/>
        <v>0</v>
      </c>
      <c r="F20" s="6">
        <f t="shared" si="19"/>
        <v>0</v>
      </c>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row>
    <row r="21">
      <c r="A21">
        <v>18</v>
      </c>
      <c r="B21" t="s">
        <v>69</v>
      </c>
      <c r="C21" s="6">
        <f t="shared" si="16"/>
        <v>0</v>
      </c>
      <c r="D21" s="6">
        <f t="shared" si="17"/>
        <v>0</v>
      </c>
      <c r="E21" s="6">
        <f t="shared" si="18"/>
        <v>0</v>
      </c>
      <c r="F21" s="6">
        <f t="shared" si="19"/>
        <v>0</v>
      </c>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row>
    <row r="22">
      <c r="A22">
        <v>19</v>
      </c>
      <c r="B22" t="s">
        <v>241</v>
      </c>
      <c r="C22" s="6">
        <f t="shared" si="16"/>
        <v>0</v>
      </c>
      <c r="D22" s="6">
        <f t="shared" si="17"/>
        <v>0</v>
      </c>
      <c r="E22" s="6">
        <f t="shared" si="18"/>
        <v>0</v>
      </c>
      <c r="F22" s="6">
        <f t="shared" si="19"/>
        <v>0</v>
      </c>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row>
    <row r="23">
      <c r="A23">
        <v>20</v>
      </c>
      <c r="B23" t="s">
        <v>71</v>
      </c>
      <c r="C23" s="6">
        <f t="shared" si="16"/>
        <v>0</v>
      </c>
      <c r="D23" s="6">
        <f t="shared" si="17"/>
        <v>0</v>
      </c>
      <c r="E23" s="6">
        <f t="shared" si="18"/>
        <v>0</v>
      </c>
      <c r="F23" s="6">
        <f t="shared" si="19"/>
        <v>0</v>
      </c>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row>
    <row r="24">
      <c r="A24">
        <v>21</v>
      </c>
      <c r="B24" t="s">
        <v>72</v>
      </c>
      <c r="C24" s="6">
        <f t="shared" si="16"/>
        <v>0</v>
      </c>
      <c r="D24" s="6">
        <f t="shared" si="17"/>
        <v>0</v>
      </c>
      <c r="E24" s="6">
        <f t="shared" si="18"/>
        <v>0</v>
      </c>
      <c r="F24" s="6">
        <f t="shared" si="19"/>
        <v>0</v>
      </c>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row>
    <row r="25">
      <c r="A25">
        <v>22</v>
      </c>
      <c r="B25" t="s">
        <v>73</v>
      </c>
      <c r="C25" s="6">
        <f t="shared" si="16"/>
        <v>0</v>
      </c>
      <c r="D25" s="6">
        <f t="shared" si="17"/>
        <v>0</v>
      </c>
      <c r="E25" s="6">
        <f t="shared" si="18"/>
        <v>0</v>
      </c>
      <c r="F25" s="6">
        <f t="shared" si="19"/>
        <v>0</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row>
    <row r="26">
      <c r="A26">
        <v>23</v>
      </c>
      <c r="B26" t="s">
        <v>74</v>
      </c>
      <c r="C26" s="6">
        <f t="shared" si="16"/>
        <v>0</v>
      </c>
      <c r="D26" s="6">
        <f t="shared" si="17"/>
        <v>0</v>
      </c>
      <c r="E26" s="6">
        <f t="shared" si="18"/>
        <v>0</v>
      </c>
      <c r="F26" s="6">
        <f t="shared" si="19"/>
        <v>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row>
    <row r="27">
      <c r="A27">
        <v>24</v>
      </c>
      <c r="B27" t="s">
        <v>75</v>
      </c>
      <c r="C27" s="6">
        <f t="shared" si="16"/>
        <v>0</v>
      </c>
      <c r="D27" s="6">
        <f t="shared" si="17"/>
        <v>0</v>
      </c>
      <c r="E27" s="6">
        <f t="shared" si="18"/>
        <v>0</v>
      </c>
      <c r="F27" s="6">
        <f t="shared" si="19"/>
        <v>0</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row>
    <row r="28">
      <c r="A28">
        <v>25</v>
      </c>
      <c r="B28" t="s">
        <v>76</v>
      </c>
      <c r="C28" s="6">
        <f t="shared" si="16"/>
        <v>0</v>
      </c>
      <c r="D28" s="6">
        <f t="shared" si="17"/>
        <v>0</v>
      </c>
      <c r="E28" s="6">
        <f t="shared" si="18"/>
        <v>0</v>
      </c>
      <c r="F28" s="6">
        <f t="shared" si="19"/>
        <v>0</v>
      </c>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row>
    <row r="29">
      <c r="A29">
        <v>26</v>
      </c>
      <c r="B29" t="s">
        <v>242</v>
      </c>
      <c r="C29" s="6">
        <f t="shared" si="16"/>
        <v>0</v>
      </c>
      <c r="D29" s="6">
        <f t="shared" si="17"/>
        <v>0</v>
      </c>
      <c r="E29" s="6">
        <f t="shared" si="18"/>
        <v>0</v>
      </c>
      <c r="F29" s="6">
        <f t="shared" si="19"/>
        <v>0</v>
      </c>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row>
    <row r="30">
      <c r="A30">
        <v>27</v>
      </c>
      <c r="B30" t="s">
        <v>78</v>
      </c>
      <c r="C30" s="6">
        <f t="shared" si="16"/>
        <v>0</v>
      </c>
      <c r="D30" s="6">
        <f t="shared" si="17"/>
        <v>0</v>
      </c>
      <c r="E30" s="6">
        <f t="shared" si="18"/>
        <v>0</v>
      </c>
      <c r="F30" s="6">
        <f t="shared" si="19"/>
        <v>0</v>
      </c>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row>
    <row r="31">
      <c r="A31">
        <v>28</v>
      </c>
      <c r="B31" t="s">
        <v>79</v>
      </c>
      <c r="C31" s="6">
        <f t="shared" si="16"/>
        <v>0</v>
      </c>
      <c r="D31" s="6">
        <f t="shared" si="17"/>
        <v>0</v>
      </c>
      <c r="E31" s="6">
        <f t="shared" si="18"/>
        <v>0</v>
      </c>
      <c r="F31" s="6">
        <f t="shared" si="19"/>
        <v>0</v>
      </c>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row>
    <row r="32">
      <c r="A32">
        <v>29</v>
      </c>
      <c r="B32" t="s">
        <v>80</v>
      </c>
      <c r="C32" s="6">
        <f t="shared" si="16"/>
        <v>0</v>
      </c>
      <c r="D32" s="6">
        <f t="shared" si="17"/>
        <v>0</v>
      </c>
      <c r="E32" s="6">
        <f t="shared" si="18"/>
        <v>0</v>
      </c>
      <c r="F32" s="6">
        <f t="shared" si="19"/>
        <v>0</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row>
    <row r="33">
      <c r="A33">
        <v>30</v>
      </c>
      <c r="B33" t="s">
        <v>81</v>
      </c>
      <c r="C33" s="6">
        <f t="shared" si="16"/>
        <v>0</v>
      </c>
      <c r="D33" s="6">
        <f t="shared" si="17"/>
        <v>0</v>
      </c>
      <c r="E33" s="6">
        <f t="shared" si="18"/>
        <v>0</v>
      </c>
      <c r="F33" s="6">
        <f t="shared" si="19"/>
        <v>0</v>
      </c>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row>
    <row r="34">
      <c r="A34">
        <v>31</v>
      </c>
      <c r="B34" t="s">
        <v>82</v>
      </c>
      <c r="C34" s="6">
        <f t="shared" si="16"/>
        <v>0</v>
      </c>
      <c r="D34" s="6">
        <f t="shared" si="17"/>
        <v>0</v>
      </c>
      <c r="E34" s="6">
        <f t="shared" si="18"/>
        <v>0</v>
      </c>
      <c r="F34" s="6">
        <f t="shared" si="19"/>
        <v>0</v>
      </c>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row>
    <row r="35">
      <c r="A35">
        <v>32</v>
      </c>
      <c r="B35" t="s">
        <v>83</v>
      </c>
      <c r="C35" s="6">
        <f t="shared" si="16"/>
        <v>0</v>
      </c>
      <c r="D35" s="6">
        <f t="shared" si="17"/>
        <v>0</v>
      </c>
      <c r="E35" s="6">
        <f t="shared" si="18"/>
        <v>0</v>
      </c>
      <c r="F35" s="6">
        <f t="shared" si="19"/>
        <v>0</v>
      </c>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row>
    <row r="36">
      <c r="A36">
        <v>33</v>
      </c>
      <c r="B36" t="s">
        <v>84</v>
      </c>
      <c r="C36" s="6">
        <f t="shared" si="16"/>
        <v>0</v>
      </c>
      <c r="D36" s="6">
        <f t="shared" si="17"/>
        <v>0</v>
      </c>
      <c r="E36" s="6">
        <f t="shared" si="18"/>
        <v>0</v>
      </c>
      <c r="F36" s="6">
        <f t="shared" si="19"/>
        <v>0</v>
      </c>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row>
    <row r="37">
      <c r="A37">
        <v>34</v>
      </c>
      <c r="B37" t="s">
        <v>85</v>
      </c>
      <c r="C37" s="6">
        <f t="shared" si="16"/>
        <v>0</v>
      </c>
      <c r="D37" s="6">
        <f t="shared" si="17"/>
        <v>0</v>
      </c>
      <c r="E37" s="6">
        <f t="shared" si="18"/>
        <v>0</v>
      </c>
      <c r="F37" s="6">
        <f t="shared" si="19"/>
        <v>0</v>
      </c>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row>
    <row r="38">
      <c r="A38">
        <v>35</v>
      </c>
      <c r="B38" t="s">
        <v>86</v>
      </c>
      <c r="C38" s="6">
        <f t="shared" si="16"/>
        <v>0</v>
      </c>
      <c r="D38" s="6">
        <f t="shared" si="17"/>
        <v>0</v>
      </c>
      <c r="E38" s="6">
        <f t="shared" si="18"/>
        <v>0</v>
      </c>
      <c r="F38" s="6">
        <f t="shared" si="19"/>
        <v>0</v>
      </c>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row>
    <row r="39">
      <c r="A39">
        <v>36</v>
      </c>
      <c r="B39" t="s">
        <v>87</v>
      </c>
      <c r="C39" s="6">
        <f t="shared" si="16"/>
        <v>0</v>
      </c>
      <c r="D39" s="6">
        <f t="shared" si="17"/>
        <v>0</v>
      </c>
      <c r="E39" s="6">
        <f t="shared" si="18"/>
        <v>0</v>
      </c>
      <c r="F39" s="6">
        <f t="shared" si="19"/>
        <v>0</v>
      </c>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row>
    <row r="40">
      <c r="A40">
        <v>37</v>
      </c>
      <c r="B40" t="s">
        <v>88</v>
      </c>
      <c r="C40" s="6">
        <f t="shared" si="16"/>
        <v>0</v>
      </c>
      <c r="D40" s="6">
        <f t="shared" si="17"/>
        <v>0</v>
      </c>
      <c r="E40" s="6">
        <f t="shared" si="18"/>
        <v>0</v>
      </c>
      <c r="F40" s="6">
        <f t="shared" si="19"/>
        <v>0</v>
      </c>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row>
    <row r="41">
      <c r="A41">
        <v>38</v>
      </c>
      <c r="B41" t="s">
        <v>89</v>
      </c>
      <c r="C41" s="6">
        <f t="shared" si="16"/>
        <v>0</v>
      </c>
      <c r="D41" s="6">
        <f t="shared" si="17"/>
        <v>0</v>
      </c>
      <c r="E41" s="6">
        <f t="shared" si="18"/>
        <v>0</v>
      </c>
      <c r="F41" s="6">
        <f t="shared" si="19"/>
        <v>0</v>
      </c>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row>
    <row r="42">
      <c r="A42">
        <v>39</v>
      </c>
      <c r="B42" t="s">
        <v>90</v>
      </c>
      <c r="C42" s="6">
        <f t="shared" si="16"/>
        <v>0</v>
      </c>
      <c r="D42" s="6">
        <f t="shared" si="17"/>
        <v>0</v>
      </c>
      <c r="E42" s="6">
        <f t="shared" si="18"/>
        <v>0</v>
      </c>
      <c r="F42" s="6">
        <f t="shared" si="19"/>
        <v>0</v>
      </c>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row>
    <row r="43">
      <c r="A43">
        <v>40</v>
      </c>
      <c r="B43" t="s">
        <v>91</v>
      </c>
      <c r="C43" s="6">
        <f t="shared" si="16"/>
        <v>0</v>
      </c>
      <c r="D43" s="6">
        <f t="shared" si="17"/>
        <v>0</v>
      </c>
      <c r="E43" s="6">
        <f t="shared" si="18"/>
        <v>0</v>
      </c>
      <c r="F43" s="6">
        <f t="shared" si="19"/>
        <v>0</v>
      </c>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row>
    <row r="44">
      <c r="A44">
        <v>41</v>
      </c>
      <c r="B44" t="s">
        <v>92</v>
      </c>
      <c r="C44" s="6">
        <f t="shared" si="16"/>
        <v>0</v>
      </c>
      <c r="D44" s="6">
        <f t="shared" si="17"/>
        <v>0</v>
      </c>
      <c r="E44" s="6">
        <f t="shared" si="18"/>
        <v>0</v>
      </c>
      <c r="F44" s="6">
        <f t="shared" si="19"/>
        <v>0</v>
      </c>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row>
    <row r="45">
      <c r="A45">
        <v>42</v>
      </c>
      <c r="B45" t="s">
        <v>93</v>
      </c>
      <c r="C45" s="6">
        <f t="shared" si="16"/>
        <v>0</v>
      </c>
      <c r="D45" s="6">
        <f t="shared" si="17"/>
        <v>0</v>
      </c>
      <c r="E45" s="6">
        <f t="shared" si="18"/>
        <v>0</v>
      </c>
      <c r="F45" s="6">
        <f t="shared" si="19"/>
        <v>0</v>
      </c>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4" operator="equal" id="{001B0031-00EB-4052-A4CA-006200E900B9}">
            <xm:f>H4=0</xm:f>
            <x14:dxf>
              <font>
                <color theme="1" tint="0.249977111117893"/>
              </font>
              <fill>
                <patternFill patternType="solid">
                  <fgColor rgb="FFF2F2F2"/>
                  <bgColor rgb="FFF2F2F2"/>
                </patternFill>
              </fill>
            </x14:dxf>
          </x14:cfRule>
          <xm:sqref>H4:AU45</xm:sqref>
        </x14:conditionalFormatting>
        <x14:conditionalFormatting xmlns:xm="http://schemas.microsoft.com/office/excel/2006/main">
          <x14:cfRule type="expression" priority="3" operator="equal" id="{00F4001B-0046-4026-9D96-0009001C005A}">
            <xm:f>H4=1</xm:f>
            <x14:dxf>
              <font>
                <color rgb="FF006100"/>
              </font>
              <fill>
                <patternFill patternType="solid">
                  <fgColor rgb="FFC6EFCE"/>
                  <bgColor rgb="FFC6EFCE"/>
                </patternFill>
              </fill>
            </x14:dxf>
          </x14:cfRule>
          <xm:sqref>H4:AU45</xm:sqref>
        </x14:conditionalFormatting>
        <x14:conditionalFormatting xmlns:xm="http://schemas.microsoft.com/office/excel/2006/main">
          <x14:cfRule type="expression" priority="2" operator="equal" id="{009B00EB-00EF-4E02-9270-001800B30090}">
            <xm:f>H4=2</xm:f>
            <x14:dxf>
              <font>
                <color rgb="FF9C0006"/>
              </font>
              <fill>
                <patternFill patternType="solid">
                  <fgColor rgb="FFFFC7CE"/>
                  <bgColor rgb="FFFFC7CE"/>
                </patternFill>
              </fill>
            </x14:dxf>
          </x14:cfRule>
          <xm:sqref>H4:AU45</xm:sqref>
        </x14:conditionalFormatting>
        <x14:conditionalFormatting xmlns:xm="http://schemas.microsoft.com/office/excel/2006/main">
          <x14:cfRule type="expression" priority="1" operator="equal" id="{003E00BE-00B4-43CB-B18D-00A700D000D0}">
            <xm:f>H4=3</xm:f>
            <x14:dxf>
              <font>
                <color rgb="FF9C5700"/>
              </font>
              <fill>
                <patternFill patternType="solid">
                  <fgColor rgb="FFFFEB9C"/>
                  <bgColor rgb="FFFFEB9C"/>
                </patternFill>
              </fill>
            </x14:dxf>
          </x14:cfRule>
          <xm:sqref>H4:AU45</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61" zoomScale="100" workbookViewId="0">
      <selection activeCell="A1" activeCellId="0" sqref="A1"/>
    </sheetView>
  </sheetViews>
  <sheetFormatPr defaultRowHeight="14.25"/>
  <cols>
    <col customWidth="1" min="3" max="3" width="13.28125"/>
    <col customWidth="1" min="4" max="43" width="3.28125"/>
  </cols>
  <sheetData>
    <row r="1" ht="14.25">
      <c r="C1" s="1" t="s">
        <v>11</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c r="AA1" s="1">
        <v>24</v>
      </c>
      <c r="AB1" s="1">
        <v>25</v>
      </c>
      <c r="AC1" s="1">
        <v>26</v>
      </c>
      <c r="AD1" s="1">
        <v>27</v>
      </c>
      <c r="AE1" s="1">
        <v>28</v>
      </c>
      <c r="AF1" s="1">
        <v>29</v>
      </c>
      <c r="AG1" s="1">
        <v>30</v>
      </c>
      <c r="AH1" s="1">
        <v>31</v>
      </c>
      <c r="AI1" s="1">
        <v>32</v>
      </c>
      <c r="AJ1" s="1">
        <v>33</v>
      </c>
      <c r="AK1" s="1">
        <v>34</v>
      </c>
      <c r="AL1" s="1">
        <v>35</v>
      </c>
      <c r="AM1" s="1">
        <v>36</v>
      </c>
      <c r="AN1" s="1">
        <v>37</v>
      </c>
      <c r="AO1" s="1">
        <v>38</v>
      </c>
      <c r="AP1" s="1">
        <v>39</v>
      </c>
      <c r="AQ1" s="1">
        <v>40</v>
      </c>
    </row>
    <row r="2" ht="14.25">
      <c r="C2" s="1" t="s">
        <v>45</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ht="14.25">
      <c r="A3" s="1" t="s">
        <v>10</v>
      </c>
      <c r="B3" s="1" t="s">
        <v>46</v>
      </c>
      <c r="C3" s="1" t="s">
        <v>243</v>
      </c>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row>
    <row r="4" ht="14.25">
      <c r="A4" s="6">
        <v>1</v>
      </c>
      <c r="B4" s="6" t="s">
        <v>52</v>
      </c>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row>
    <row r="5" ht="14.25">
      <c r="A5" s="6">
        <v>2</v>
      </c>
      <c r="B5" s="6" t="s">
        <v>53</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row>
    <row r="6" ht="14.25">
      <c r="A6" s="6">
        <v>3</v>
      </c>
      <c r="B6" s="6" t="s">
        <v>54</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row>
    <row r="7" ht="14.25">
      <c r="A7" s="6">
        <v>4</v>
      </c>
      <c r="B7" s="6" t="s">
        <v>55</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row>
    <row r="8" ht="14.25">
      <c r="A8" s="6">
        <v>5</v>
      </c>
      <c r="B8" s="6" t="s">
        <v>56</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row>
    <row r="9" ht="14.25">
      <c r="A9" s="6">
        <v>6</v>
      </c>
      <c r="B9" s="6" t="s">
        <v>57</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row>
    <row r="10" ht="14.25">
      <c r="A10" s="6">
        <v>7</v>
      </c>
      <c r="B10" s="6" t="s">
        <v>58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row>
    <row r="11" ht="14.25">
      <c r="A11" s="6">
        <v>8</v>
      </c>
      <c r="B11" s="6" t="s">
        <v>59</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ht="14.25">
      <c r="A12" s="6">
        <v>9</v>
      </c>
      <c r="B12" s="6" t="s">
        <v>60</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row>
    <row r="13" ht="14.25">
      <c r="A13" s="6">
        <v>10</v>
      </c>
      <c r="B13" s="6" t="s">
        <v>61</v>
      </c>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row>
    <row r="14" ht="14.25">
      <c r="A14" s="6">
        <v>11</v>
      </c>
      <c r="B14" s="6" t="s">
        <v>62</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row>
    <row r="15" ht="14.25">
      <c r="A15" s="6">
        <v>12</v>
      </c>
      <c r="B15" s="6" t="s">
        <v>63</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row>
    <row r="16" ht="14.25">
      <c r="A16" s="6">
        <v>13</v>
      </c>
      <c r="B16" s="6" t="s">
        <v>64</v>
      </c>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row>
    <row r="17" ht="14.25">
      <c r="A17" s="6">
        <v>14</v>
      </c>
      <c r="B17" s="6" t="s">
        <v>240</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row>
    <row r="18" ht="14.25">
      <c r="A18" s="6">
        <v>15</v>
      </c>
      <c r="B18" s="6" t="s">
        <v>66</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row>
    <row r="19" ht="14.25">
      <c r="A19" s="6">
        <v>16</v>
      </c>
      <c r="B19" s="6" t="s">
        <v>67</v>
      </c>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row>
    <row r="20" ht="14.25">
      <c r="A20" s="6">
        <v>17</v>
      </c>
      <c r="B20" s="6" t="s">
        <v>68</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row>
    <row r="21" ht="14.25">
      <c r="A21" s="6">
        <v>18</v>
      </c>
      <c r="B21" s="6" t="s">
        <v>69</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row>
    <row r="22" ht="14.25">
      <c r="A22" s="6">
        <v>19</v>
      </c>
      <c r="B22" s="6" t="s">
        <v>241</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row>
    <row r="23" ht="14.25">
      <c r="A23" s="6">
        <v>20</v>
      </c>
      <c r="B23" s="6" t="s">
        <v>71</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row>
    <row r="24" ht="14.25">
      <c r="A24" s="6">
        <v>21</v>
      </c>
      <c r="B24" s="6" t="s">
        <v>72</v>
      </c>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row>
    <row r="25" ht="14.25">
      <c r="A25" s="6">
        <v>22</v>
      </c>
      <c r="B25" s="6" t="s">
        <v>73</v>
      </c>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row>
    <row r="26" ht="14.25">
      <c r="A26" s="6">
        <v>23</v>
      </c>
      <c r="B26" s="6" t="s">
        <v>74</v>
      </c>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row>
    <row r="27" ht="14.25">
      <c r="A27" s="6">
        <v>24</v>
      </c>
      <c r="B27" s="6" t="s">
        <v>75</v>
      </c>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row>
    <row r="28" ht="14.25">
      <c r="A28" s="6">
        <v>25</v>
      </c>
      <c r="B28" s="6" t="s">
        <v>76</v>
      </c>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row>
    <row r="29" ht="14.25">
      <c r="A29" s="6">
        <v>26</v>
      </c>
      <c r="B29" s="6" t="s">
        <v>242</v>
      </c>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row>
    <row r="30" ht="14.25">
      <c r="A30" s="6">
        <v>27</v>
      </c>
      <c r="B30" s="6" t="s">
        <v>78</v>
      </c>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row>
    <row r="31" ht="14.25">
      <c r="A31" s="6">
        <v>28</v>
      </c>
      <c r="B31" s="6" t="s">
        <v>79</v>
      </c>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row>
    <row r="32" ht="14.25">
      <c r="A32" s="6">
        <v>29</v>
      </c>
      <c r="B32" s="6" t="s">
        <v>80</v>
      </c>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row>
    <row r="33" ht="14.25">
      <c r="A33" s="6">
        <v>30</v>
      </c>
      <c r="B33" s="6" t="s">
        <v>81</v>
      </c>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row>
    <row r="34" ht="14.25">
      <c r="A34" s="6">
        <v>31</v>
      </c>
      <c r="B34" s="6" t="s">
        <v>82</v>
      </c>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row>
    <row r="35" ht="14.25">
      <c r="A35" s="6">
        <v>32</v>
      </c>
      <c r="B35" s="6" t="s">
        <v>83</v>
      </c>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row>
    <row r="36" ht="14.25">
      <c r="A36" s="6">
        <v>33</v>
      </c>
      <c r="B36" s="6" t="s">
        <v>84</v>
      </c>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row>
    <row r="37" ht="14.25">
      <c r="A37" s="6">
        <v>34</v>
      </c>
      <c r="B37" s="6" t="s">
        <v>85</v>
      </c>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row>
    <row r="38" ht="14.25">
      <c r="A38" s="6">
        <v>35</v>
      </c>
      <c r="B38" s="6" t="s">
        <v>86</v>
      </c>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row>
    <row r="39" ht="14.25">
      <c r="A39" s="6">
        <v>36</v>
      </c>
      <c r="B39" s="6" t="s">
        <v>87</v>
      </c>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row>
    <row r="40" ht="14.25">
      <c r="A40" s="6">
        <v>37</v>
      </c>
      <c r="B40" s="6" t="s">
        <v>88</v>
      </c>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row>
    <row r="41" ht="14.25">
      <c r="A41" s="6">
        <v>38</v>
      </c>
      <c r="B41" s="6" t="s">
        <v>89</v>
      </c>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row>
    <row r="42" ht="14.25">
      <c r="A42" s="6">
        <v>39</v>
      </c>
      <c r="B42" s="6" t="s">
        <v>90</v>
      </c>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row>
    <row r="43" ht="14.25">
      <c r="A43" s="6">
        <v>40</v>
      </c>
      <c r="B43" s="6" t="s">
        <v>91</v>
      </c>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row>
    <row r="44" ht="14.25">
      <c r="A44" s="6">
        <v>41</v>
      </c>
      <c r="B44" s="6" t="s">
        <v>92</v>
      </c>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row>
    <row r="45" ht="14.25">
      <c r="A45" s="6">
        <v>42</v>
      </c>
      <c r="B45" s="6" t="s">
        <v>93</v>
      </c>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row>
    <row r="47" ht="14.25">
      <c r="A47" s="1" t="s">
        <v>10</v>
      </c>
      <c r="B47" s="1" t="s">
        <v>46</v>
      </c>
      <c r="C47" s="1" t="s">
        <v>244</v>
      </c>
    </row>
    <row r="48" ht="14.25">
      <c r="A48" s="6">
        <v>1</v>
      </c>
      <c r="B48" s="6" t="s">
        <v>52</v>
      </c>
      <c r="C48" s="6"/>
    </row>
    <row r="49" ht="14.25">
      <c r="A49" s="6">
        <v>2</v>
      </c>
      <c r="B49" s="6" t="s">
        <v>53</v>
      </c>
      <c r="C49" s="6"/>
    </row>
    <row r="50" ht="14.25">
      <c r="A50" s="6">
        <v>3</v>
      </c>
      <c r="B50" s="6" t="s">
        <v>54</v>
      </c>
      <c r="C50" s="6"/>
    </row>
    <row r="51" ht="14.25">
      <c r="A51" s="6">
        <v>4</v>
      </c>
      <c r="B51" s="6" t="s">
        <v>55</v>
      </c>
      <c r="C51" s="6"/>
    </row>
    <row r="52" ht="14.25">
      <c r="A52" s="6">
        <v>5</v>
      </c>
      <c r="B52" s="6" t="s">
        <v>56</v>
      </c>
      <c r="C52" s="6"/>
    </row>
    <row r="53" ht="14.25">
      <c r="A53" s="6">
        <v>6</v>
      </c>
      <c r="B53" s="6" t="s">
        <v>57</v>
      </c>
      <c r="C53" s="6"/>
    </row>
    <row r="54" ht="14.25">
      <c r="A54" s="6">
        <v>7</v>
      </c>
      <c r="B54" s="6" t="s">
        <v>58</v>
      </c>
      <c r="C54" s="6"/>
    </row>
    <row r="55" ht="14.25">
      <c r="A55" s="6">
        <v>8</v>
      </c>
      <c r="B55" s="6" t="s">
        <v>59</v>
      </c>
      <c r="C55" s="6"/>
    </row>
    <row r="56" ht="14.25">
      <c r="A56" s="6">
        <v>9</v>
      </c>
      <c r="B56" s="6" t="s">
        <v>60</v>
      </c>
      <c r="C56" s="6"/>
    </row>
    <row r="57" ht="14.25">
      <c r="A57" s="6">
        <v>10</v>
      </c>
      <c r="B57" s="6" t="s">
        <v>61</v>
      </c>
      <c r="C57" s="6"/>
    </row>
    <row r="58" ht="14.25">
      <c r="A58" s="6">
        <v>11</v>
      </c>
      <c r="B58" s="6" t="s">
        <v>62</v>
      </c>
      <c r="C58" s="6"/>
    </row>
    <row r="59" ht="14.25">
      <c r="A59" s="6">
        <v>12</v>
      </c>
      <c r="B59" s="6" t="s">
        <v>63</v>
      </c>
      <c r="C59" s="6"/>
    </row>
    <row r="60" ht="14.25">
      <c r="A60" s="6">
        <v>13</v>
      </c>
      <c r="B60" s="6" t="s">
        <v>64</v>
      </c>
      <c r="C60" s="6"/>
    </row>
    <row r="61" ht="14.25">
      <c r="A61" s="6">
        <v>14</v>
      </c>
      <c r="B61" s="6" t="s">
        <v>240</v>
      </c>
      <c r="C61" s="6"/>
    </row>
    <row r="62" ht="14.25">
      <c r="A62" s="6">
        <v>15</v>
      </c>
      <c r="B62" s="6" t="s">
        <v>66</v>
      </c>
      <c r="C62" s="6"/>
    </row>
    <row r="63" ht="14.25">
      <c r="A63" s="6">
        <v>16</v>
      </c>
      <c r="B63" s="6" t="s">
        <v>67</v>
      </c>
      <c r="C63" s="6"/>
    </row>
    <row r="64" ht="14.25">
      <c r="A64" s="6">
        <v>17</v>
      </c>
      <c r="B64" s="6" t="s">
        <v>68</v>
      </c>
      <c r="C64" s="6"/>
    </row>
    <row r="65" ht="14.25">
      <c r="A65" s="6">
        <v>18</v>
      </c>
      <c r="B65" s="6" t="s">
        <v>69</v>
      </c>
      <c r="C65" s="6"/>
    </row>
    <row r="66" ht="14.25">
      <c r="A66" s="6">
        <v>19</v>
      </c>
      <c r="B66" s="6" t="s">
        <v>241</v>
      </c>
      <c r="C66" s="6"/>
    </row>
    <row r="67" ht="14.25">
      <c r="A67" s="6">
        <v>20</v>
      </c>
      <c r="B67" s="6" t="s">
        <v>71</v>
      </c>
      <c r="C67" s="6"/>
    </row>
    <row r="68" ht="14.25">
      <c r="A68" s="6">
        <v>21</v>
      </c>
      <c r="B68" s="6" t="s">
        <v>72</v>
      </c>
      <c r="C68" s="6"/>
    </row>
    <row r="69" ht="14.25">
      <c r="A69" s="6">
        <v>22</v>
      </c>
      <c r="B69" s="6" t="s">
        <v>73</v>
      </c>
      <c r="C69" s="6"/>
    </row>
    <row r="70" ht="14.25">
      <c r="A70" s="6">
        <v>23</v>
      </c>
      <c r="B70" s="6" t="s">
        <v>74</v>
      </c>
      <c r="C70" s="6"/>
    </row>
    <row r="71" ht="14.25">
      <c r="A71" s="6">
        <v>24</v>
      </c>
      <c r="B71" s="6" t="s">
        <v>75</v>
      </c>
      <c r="C71" s="6"/>
    </row>
    <row r="72" ht="14.25">
      <c r="A72" s="6">
        <v>25</v>
      </c>
      <c r="B72" s="6" t="s">
        <v>76</v>
      </c>
      <c r="C72" s="6"/>
    </row>
    <row r="73" ht="14.25">
      <c r="A73" s="6">
        <v>26</v>
      </c>
      <c r="B73" s="6" t="s">
        <v>242</v>
      </c>
      <c r="C73" s="6"/>
    </row>
    <row r="74" ht="14.25">
      <c r="A74" s="6">
        <v>27</v>
      </c>
      <c r="B74" s="6" t="s">
        <v>78</v>
      </c>
      <c r="C74" s="6"/>
    </row>
    <row r="75" ht="14.25">
      <c r="A75" s="6">
        <v>28</v>
      </c>
      <c r="B75" s="6" t="s">
        <v>79</v>
      </c>
      <c r="C75" s="6"/>
    </row>
    <row r="76" ht="14.25">
      <c r="A76" s="6">
        <v>29</v>
      </c>
      <c r="B76" s="6" t="s">
        <v>80</v>
      </c>
      <c r="C76" s="6"/>
    </row>
    <row r="77" ht="14.25">
      <c r="A77" s="6">
        <v>30</v>
      </c>
      <c r="B77" s="6" t="s">
        <v>81</v>
      </c>
      <c r="C77" s="6"/>
    </row>
    <row r="78" ht="14.25">
      <c r="A78" s="6">
        <v>31</v>
      </c>
      <c r="B78" s="6" t="s">
        <v>82</v>
      </c>
      <c r="C78" s="6"/>
    </row>
    <row r="79" ht="14.25">
      <c r="A79" s="6">
        <v>32</v>
      </c>
      <c r="B79" s="6" t="s">
        <v>83</v>
      </c>
      <c r="C79" s="6"/>
    </row>
    <row r="80" ht="14.25">
      <c r="A80" s="6">
        <v>33</v>
      </c>
      <c r="B80" s="6" t="s">
        <v>84</v>
      </c>
      <c r="C80" s="6"/>
    </row>
    <row r="81" ht="14.25">
      <c r="A81" s="6">
        <v>34</v>
      </c>
      <c r="B81" s="6" t="s">
        <v>85</v>
      </c>
      <c r="C81" s="6"/>
    </row>
    <row r="82" ht="14.25">
      <c r="A82" s="6">
        <v>35</v>
      </c>
      <c r="B82" s="6" t="s">
        <v>86</v>
      </c>
      <c r="C82" s="6"/>
    </row>
    <row r="83" ht="14.25">
      <c r="A83" s="6">
        <v>36</v>
      </c>
      <c r="B83" s="6" t="s">
        <v>87</v>
      </c>
      <c r="C83" s="6"/>
    </row>
    <row r="84" ht="14.25">
      <c r="A84" s="6">
        <v>37</v>
      </c>
      <c r="B84" s="6" t="s">
        <v>88</v>
      </c>
      <c r="C84" s="6"/>
    </row>
    <row r="85" ht="14.25">
      <c r="A85" s="6">
        <v>38</v>
      </c>
      <c r="B85" s="6" t="s">
        <v>89</v>
      </c>
      <c r="C85" s="6"/>
    </row>
    <row r="86" ht="14.25">
      <c r="A86" s="6">
        <v>39</v>
      </c>
      <c r="B86" s="6" t="s">
        <v>90</v>
      </c>
      <c r="C86" s="6"/>
    </row>
    <row r="87" ht="14.25">
      <c r="A87" s="6">
        <v>40</v>
      </c>
      <c r="B87" s="6" t="s">
        <v>91</v>
      </c>
      <c r="C87" s="6"/>
    </row>
    <row r="88" ht="14.25">
      <c r="A88" s="6">
        <v>41</v>
      </c>
      <c r="B88" s="6" t="s">
        <v>92</v>
      </c>
      <c r="C88" s="6"/>
    </row>
    <row r="89" ht="14.25">
      <c r="A89" s="6">
        <v>42</v>
      </c>
      <c r="B89" s="6" t="s">
        <v>93</v>
      </c>
      <c r="C89" s="6"/>
    </row>
    <row r="91" ht="14.25">
      <c r="A91" s="1" t="s">
        <v>10</v>
      </c>
      <c r="B91" s="1" t="s">
        <v>46</v>
      </c>
      <c r="C91" s="1" t="s">
        <v>245</v>
      </c>
    </row>
    <row r="92" ht="14.25">
      <c r="A92" s="6">
        <v>1</v>
      </c>
      <c r="B92" s="6" t="s">
        <v>52</v>
      </c>
      <c r="C92" s="6"/>
    </row>
    <row r="93" ht="14.25">
      <c r="A93" s="6">
        <v>2</v>
      </c>
      <c r="B93" s="6" t="s">
        <v>53</v>
      </c>
      <c r="C93" s="6"/>
    </row>
    <row r="94" ht="14.25">
      <c r="A94" s="6">
        <v>3</v>
      </c>
      <c r="B94" s="6" t="s">
        <v>54</v>
      </c>
      <c r="C94" s="6"/>
    </row>
    <row r="95" ht="14.25">
      <c r="A95" s="6">
        <v>4</v>
      </c>
      <c r="B95" s="6" t="s">
        <v>55</v>
      </c>
      <c r="C95" s="6"/>
    </row>
    <row r="96" ht="14.25">
      <c r="A96" s="6">
        <v>5</v>
      </c>
      <c r="B96" s="6" t="s">
        <v>56</v>
      </c>
      <c r="C96" s="6"/>
    </row>
    <row r="97" ht="14.25">
      <c r="A97" s="6">
        <v>6</v>
      </c>
      <c r="B97" s="6" t="s">
        <v>57</v>
      </c>
      <c r="C97" s="6"/>
    </row>
    <row r="98" ht="14.25">
      <c r="A98" s="6">
        <v>7</v>
      </c>
      <c r="B98" s="6" t="s">
        <v>58</v>
      </c>
      <c r="C98" s="6"/>
    </row>
    <row r="99" ht="14.25">
      <c r="A99" s="6">
        <v>8</v>
      </c>
      <c r="B99" s="6" t="s">
        <v>59</v>
      </c>
      <c r="C99" s="6"/>
    </row>
    <row r="100" ht="14.25">
      <c r="A100" s="6">
        <v>9</v>
      </c>
      <c r="B100" s="6" t="s">
        <v>60</v>
      </c>
      <c r="C100" s="6"/>
    </row>
    <row r="101" ht="14.25">
      <c r="A101" s="6">
        <v>10</v>
      </c>
      <c r="B101" s="6" t="s">
        <v>61</v>
      </c>
      <c r="C101" s="6"/>
    </row>
    <row r="102" ht="14.25">
      <c r="A102" s="6">
        <v>11</v>
      </c>
      <c r="B102" s="6" t="s">
        <v>62</v>
      </c>
      <c r="C102" s="6"/>
    </row>
    <row r="103" ht="14.25">
      <c r="A103" s="6">
        <v>12</v>
      </c>
      <c r="B103" s="6" t="s">
        <v>63</v>
      </c>
      <c r="C103" s="6"/>
    </row>
    <row r="104" ht="14.25">
      <c r="A104" s="6">
        <v>13</v>
      </c>
      <c r="B104" s="6" t="s">
        <v>64</v>
      </c>
      <c r="C104" s="6"/>
    </row>
    <row r="105" ht="14.25">
      <c r="A105" s="6">
        <v>14</v>
      </c>
      <c r="B105" s="6" t="s">
        <v>240</v>
      </c>
      <c r="C105" s="6"/>
    </row>
    <row r="106" ht="14.25">
      <c r="A106" s="6">
        <v>15</v>
      </c>
      <c r="B106" s="6" t="s">
        <v>66</v>
      </c>
      <c r="C106" s="6"/>
    </row>
    <row r="107" ht="14.25">
      <c r="A107" s="6">
        <v>16</v>
      </c>
      <c r="B107" s="6" t="s">
        <v>67</v>
      </c>
      <c r="C107" s="6"/>
    </row>
    <row r="108" ht="14.25">
      <c r="A108" s="6">
        <v>17</v>
      </c>
      <c r="B108" s="6" t="s">
        <v>68</v>
      </c>
      <c r="C108" s="6"/>
    </row>
    <row r="109" ht="14.25">
      <c r="A109" s="6">
        <v>18</v>
      </c>
      <c r="B109" s="6" t="s">
        <v>69</v>
      </c>
      <c r="C109" s="6"/>
    </row>
    <row r="110" ht="14.25">
      <c r="A110" s="6">
        <v>19</v>
      </c>
      <c r="B110" s="6" t="s">
        <v>241</v>
      </c>
      <c r="C110" s="6"/>
    </row>
    <row r="111" ht="14.25">
      <c r="A111" s="6">
        <v>20</v>
      </c>
      <c r="B111" s="6" t="s">
        <v>71</v>
      </c>
      <c r="C111" s="6"/>
    </row>
    <row r="112" ht="14.25">
      <c r="A112" s="6">
        <v>21</v>
      </c>
      <c r="B112" s="6" t="s">
        <v>72</v>
      </c>
      <c r="C112" s="6"/>
    </row>
    <row r="113" ht="14.25">
      <c r="A113" s="6">
        <v>22</v>
      </c>
      <c r="B113" s="6" t="s">
        <v>73</v>
      </c>
      <c r="C113" s="6"/>
    </row>
    <row r="114" ht="14.25">
      <c r="A114" s="6">
        <v>23</v>
      </c>
      <c r="B114" s="6" t="s">
        <v>74</v>
      </c>
      <c r="C114" s="6"/>
    </row>
    <row r="115" ht="14.25">
      <c r="A115" s="6">
        <v>24</v>
      </c>
      <c r="B115" s="6" t="s">
        <v>75</v>
      </c>
      <c r="C115" s="6"/>
    </row>
    <row r="116" ht="14.25">
      <c r="A116" s="6">
        <v>25</v>
      </c>
      <c r="B116" s="6" t="s">
        <v>76</v>
      </c>
      <c r="C116" s="6"/>
    </row>
    <row r="117" ht="14.25">
      <c r="A117" s="6">
        <v>26</v>
      </c>
      <c r="B117" s="6" t="s">
        <v>242</v>
      </c>
      <c r="C117" s="6"/>
    </row>
    <row r="118" ht="14.25">
      <c r="A118" s="6">
        <v>27</v>
      </c>
      <c r="B118" s="6" t="s">
        <v>78</v>
      </c>
      <c r="C118" s="6"/>
    </row>
    <row r="119" ht="14.25">
      <c r="A119" s="6">
        <v>28</v>
      </c>
      <c r="B119" s="6" t="s">
        <v>79</v>
      </c>
      <c r="C119" s="6"/>
    </row>
    <row r="120" ht="14.25">
      <c r="A120" s="6">
        <v>29</v>
      </c>
      <c r="B120" s="6" t="s">
        <v>80</v>
      </c>
      <c r="C120" s="6"/>
    </row>
    <row r="121" ht="14.25">
      <c r="A121" s="6">
        <v>30</v>
      </c>
      <c r="B121" s="6" t="s">
        <v>81</v>
      </c>
      <c r="C121" s="6"/>
    </row>
    <row r="122" ht="14.25">
      <c r="A122" s="6">
        <v>31</v>
      </c>
      <c r="B122" s="6" t="s">
        <v>82</v>
      </c>
      <c r="C122" s="6"/>
    </row>
    <row r="123" ht="14.25">
      <c r="A123" s="6">
        <v>32</v>
      </c>
      <c r="B123" s="6" t="s">
        <v>83</v>
      </c>
      <c r="C123" s="6"/>
    </row>
    <row r="124" ht="14.25">
      <c r="A124" s="6">
        <v>33</v>
      </c>
      <c r="B124" s="6" t="s">
        <v>84</v>
      </c>
      <c r="C124" s="6"/>
    </row>
    <row r="125" ht="14.25">
      <c r="A125" s="6">
        <v>34</v>
      </c>
      <c r="B125" s="6" t="s">
        <v>85</v>
      </c>
      <c r="C125" s="6"/>
    </row>
    <row r="126" ht="14.25">
      <c r="A126" s="6">
        <v>35</v>
      </c>
      <c r="B126" s="6" t="s">
        <v>86</v>
      </c>
      <c r="C126" s="6"/>
    </row>
    <row r="127" ht="14.25">
      <c r="A127" s="6">
        <v>36</v>
      </c>
      <c r="B127" s="6" t="s">
        <v>87</v>
      </c>
      <c r="C127" s="6"/>
    </row>
    <row r="128" ht="14.25">
      <c r="A128" s="6">
        <v>37</v>
      </c>
      <c r="B128" s="6" t="s">
        <v>88</v>
      </c>
      <c r="C128" s="6"/>
    </row>
    <row r="129" ht="14.25">
      <c r="A129" s="6">
        <v>38</v>
      </c>
      <c r="B129" s="6" t="s">
        <v>89</v>
      </c>
      <c r="C129" s="6"/>
    </row>
    <row r="130" ht="14.25">
      <c r="A130" s="6">
        <v>39</v>
      </c>
      <c r="B130" s="6" t="s">
        <v>90</v>
      </c>
      <c r="C130" s="6"/>
    </row>
    <row r="131" ht="14.25">
      <c r="A131" s="6">
        <v>40</v>
      </c>
      <c r="B131" s="6" t="s">
        <v>91</v>
      </c>
      <c r="C131" s="6"/>
    </row>
    <row r="132" ht="14.25">
      <c r="A132" s="6">
        <v>41</v>
      </c>
      <c r="B132" s="6" t="s">
        <v>92</v>
      </c>
      <c r="C132" s="6"/>
    </row>
    <row r="133" ht="14.25">
      <c r="A133" s="6">
        <v>42</v>
      </c>
      <c r="B133" s="6" t="s">
        <v>93</v>
      </c>
      <c r="C133" s="6"/>
    </row>
    <row r="135" ht="14.25">
      <c r="A135" s="1" t="s">
        <v>10</v>
      </c>
      <c r="B135" s="1" t="s">
        <v>46</v>
      </c>
      <c r="C135" s="1" t="s">
        <v>246</v>
      </c>
    </row>
    <row r="136" ht="14.25">
      <c r="A136" s="6">
        <v>1</v>
      </c>
      <c r="B136" s="6" t="s">
        <v>52</v>
      </c>
      <c r="C136" s="6"/>
    </row>
    <row r="137" ht="14.25">
      <c r="A137" s="6">
        <v>2</v>
      </c>
      <c r="B137" s="6" t="s">
        <v>53</v>
      </c>
      <c r="C137" s="6"/>
    </row>
    <row r="138" ht="14.25">
      <c r="A138" s="6">
        <v>3</v>
      </c>
      <c r="B138" s="6" t="s">
        <v>54</v>
      </c>
      <c r="C138" s="6"/>
    </row>
    <row r="139" ht="14.25">
      <c r="A139" s="6">
        <v>4</v>
      </c>
      <c r="B139" s="6" t="s">
        <v>55</v>
      </c>
      <c r="C139" s="6"/>
    </row>
    <row r="140" ht="14.25">
      <c r="A140" s="6">
        <v>5</v>
      </c>
      <c r="B140" s="6" t="s">
        <v>56</v>
      </c>
      <c r="C140" s="6"/>
    </row>
    <row r="141" ht="14.25">
      <c r="A141" s="6">
        <v>6</v>
      </c>
      <c r="B141" s="6" t="s">
        <v>57</v>
      </c>
      <c r="C141" s="6"/>
    </row>
    <row r="142" ht="14.25">
      <c r="A142" s="6">
        <v>7</v>
      </c>
      <c r="B142" s="6" t="s">
        <v>58</v>
      </c>
      <c r="C142" s="6"/>
    </row>
    <row r="143" ht="14.25">
      <c r="A143" s="6">
        <v>8</v>
      </c>
      <c r="B143" s="6" t="s">
        <v>59</v>
      </c>
      <c r="C143" s="6"/>
    </row>
    <row r="144" ht="14.25">
      <c r="A144" s="6">
        <v>9</v>
      </c>
      <c r="B144" s="6" t="s">
        <v>60</v>
      </c>
      <c r="C144" s="6"/>
    </row>
    <row r="145" ht="14.25">
      <c r="A145" s="6">
        <v>10</v>
      </c>
      <c r="B145" s="6" t="s">
        <v>61</v>
      </c>
      <c r="C145" s="6"/>
    </row>
    <row r="146" ht="14.25">
      <c r="A146" s="6">
        <v>11</v>
      </c>
      <c r="B146" s="6" t="s">
        <v>62</v>
      </c>
      <c r="C146" s="6"/>
    </row>
    <row r="147" ht="14.25">
      <c r="A147" s="6">
        <v>12</v>
      </c>
      <c r="B147" s="6" t="s">
        <v>63</v>
      </c>
      <c r="C147" s="6"/>
    </row>
    <row r="148" ht="14.25">
      <c r="A148" s="6">
        <v>13</v>
      </c>
      <c r="B148" s="6" t="s">
        <v>64</v>
      </c>
      <c r="C148" s="6"/>
    </row>
    <row r="149" ht="14.25">
      <c r="A149" s="6">
        <v>14</v>
      </c>
      <c r="B149" s="6" t="s">
        <v>240</v>
      </c>
      <c r="C149" s="6"/>
    </row>
    <row r="150" ht="14.25">
      <c r="A150" s="6">
        <v>15</v>
      </c>
      <c r="B150" s="6" t="s">
        <v>66</v>
      </c>
      <c r="C150" s="6"/>
    </row>
    <row r="151" ht="14.25">
      <c r="A151" s="6">
        <v>16</v>
      </c>
      <c r="B151" s="6" t="s">
        <v>67</v>
      </c>
      <c r="C151" s="6"/>
    </row>
    <row r="152" ht="14.25">
      <c r="A152" s="6">
        <v>17</v>
      </c>
      <c r="B152" s="6" t="s">
        <v>68</v>
      </c>
      <c r="C152" s="6"/>
    </row>
    <row r="153" ht="14.25">
      <c r="A153" s="6">
        <v>18</v>
      </c>
      <c r="B153" s="6" t="s">
        <v>69</v>
      </c>
      <c r="C153" s="6"/>
    </row>
    <row r="154" ht="14.25">
      <c r="A154" s="6">
        <v>19</v>
      </c>
      <c r="B154" s="6" t="s">
        <v>241</v>
      </c>
      <c r="C154" s="6"/>
    </row>
    <row r="155" ht="14.25">
      <c r="A155" s="6">
        <v>20</v>
      </c>
      <c r="B155" s="6" t="s">
        <v>71</v>
      </c>
      <c r="C155" s="6"/>
    </row>
    <row r="156" ht="14.25">
      <c r="A156" s="6">
        <v>21</v>
      </c>
      <c r="B156" s="6" t="s">
        <v>72</v>
      </c>
      <c r="C156" s="6"/>
    </row>
    <row r="157" ht="14.25">
      <c r="A157" s="6">
        <v>22</v>
      </c>
      <c r="B157" s="6" t="s">
        <v>73</v>
      </c>
      <c r="C157" s="6"/>
    </row>
    <row r="158" ht="14.25">
      <c r="A158" s="6">
        <v>23</v>
      </c>
      <c r="B158" s="6" t="s">
        <v>74</v>
      </c>
      <c r="C158" s="6"/>
    </row>
    <row r="159" ht="14.25">
      <c r="A159" s="6">
        <v>24</v>
      </c>
      <c r="B159" s="6" t="s">
        <v>75</v>
      </c>
      <c r="C159" s="6"/>
    </row>
    <row r="160" ht="14.25">
      <c r="A160" s="6">
        <v>25</v>
      </c>
      <c r="B160" s="6" t="s">
        <v>76</v>
      </c>
      <c r="C160" s="6"/>
    </row>
    <row r="161" ht="14.25">
      <c r="A161" s="6">
        <v>26</v>
      </c>
      <c r="B161" s="6" t="s">
        <v>242</v>
      </c>
      <c r="C161" s="6"/>
    </row>
    <row r="162" ht="14.25">
      <c r="A162" s="6">
        <v>27</v>
      </c>
      <c r="B162" s="6" t="s">
        <v>78</v>
      </c>
      <c r="C162" s="6"/>
    </row>
    <row r="163" ht="14.25">
      <c r="A163" s="6">
        <v>28</v>
      </c>
      <c r="B163" s="6" t="s">
        <v>79</v>
      </c>
      <c r="C163" s="6"/>
    </row>
    <row r="164" ht="14.25">
      <c r="A164" s="6">
        <v>29</v>
      </c>
      <c r="B164" s="6" t="s">
        <v>80</v>
      </c>
      <c r="C164" s="6"/>
    </row>
    <row r="165" ht="14.25">
      <c r="A165" s="6">
        <v>30</v>
      </c>
      <c r="B165" s="6" t="s">
        <v>81</v>
      </c>
      <c r="C165" s="6"/>
    </row>
    <row r="166" ht="14.25">
      <c r="A166" s="6">
        <v>31</v>
      </c>
      <c r="B166" s="6" t="s">
        <v>82</v>
      </c>
      <c r="C166" s="6"/>
    </row>
    <row r="167" ht="14.25">
      <c r="A167" s="6">
        <v>32</v>
      </c>
      <c r="B167" s="6" t="s">
        <v>83</v>
      </c>
      <c r="C167" s="6"/>
    </row>
    <row r="168" ht="14.25">
      <c r="A168" s="6">
        <v>33</v>
      </c>
      <c r="B168" s="6" t="s">
        <v>84</v>
      </c>
      <c r="C168" s="6"/>
    </row>
    <row r="169" ht="14.25">
      <c r="A169" s="6">
        <v>34</v>
      </c>
      <c r="B169" s="6" t="s">
        <v>85</v>
      </c>
      <c r="C169" s="6"/>
    </row>
    <row r="170" ht="14.25">
      <c r="A170" s="6">
        <v>35</v>
      </c>
      <c r="B170" s="6" t="s">
        <v>86</v>
      </c>
      <c r="C170" s="6"/>
    </row>
    <row r="171" ht="14.25">
      <c r="A171" s="6">
        <v>36</v>
      </c>
      <c r="B171" s="6" t="s">
        <v>87</v>
      </c>
      <c r="C171" s="6"/>
    </row>
    <row r="172" ht="14.25">
      <c r="A172" s="6">
        <v>37</v>
      </c>
      <c r="B172" s="6" t="s">
        <v>88</v>
      </c>
      <c r="C172" s="6"/>
    </row>
    <row r="173" ht="14.25">
      <c r="A173" s="6">
        <v>38</v>
      </c>
      <c r="B173" s="6" t="s">
        <v>89</v>
      </c>
      <c r="C173" s="6"/>
    </row>
    <row r="174" ht="14.25">
      <c r="A174" s="6">
        <v>39</v>
      </c>
      <c r="B174" s="6" t="s">
        <v>90</v>
      </c>
      <c r="C174" s="6"/>
    </row>
    <row r="175" ht="14.25">
      <c r="A175" s="6">
        <v>40</v>
      </c>
      <c r="B175" s="6" t="s">
        <v>91</v>
      </c>
      <c r="C175" s="6"/>
    </row>
    <row r="176" ht="14.25">
      <c r="A176" s="6">
        <v>41</v>
      </c>
      <c r="B176" s="6" t="s">
        <v>92</v>
      </c>
      <c r="C176" s="6"/>
    </row>
    <row r="177" ht="14.25">
      <c r="A177" s="6">
        <v>42</v>
      </c>
      <c r="B177" s="6" t="s">
        <v>93</v>
      </c>
      <c r="C177" s="6"/>
    </row>
    <row r="179" ht="14.25">
      <c r="A179" s="1" t="s">
        <v>10</v>
      </c>
      <c r="B179" s="1" t="s">
        <v>46</v>
      </c>
      <c r="C179" s="1" t="s">
        <v>247</v>
      </c>
    </row>
    <row r="180" ht="14.25">
      <c r="A180" s="6">
        <v>1</v>
      </c>
      <c r="B180" s="6" t="s">
        <v>52</v>
      </c>
      <c r="C180" s="6"/>
    </row>
    <row r="181" ht="14.25">
      <c r="A181" s="6">
        <v>2</v>
      </c>
      <c r="B181" s="6" t="s">
        <v>53</v>
      </c>
      <c r="C181" s="6"/>
    </row>
    <row r="182" ht="14.25">
      <c r="A182" s="6">
        <v>3</v>
      </c>
      <c r="B182" s="6" t="s">
        <v>54</v>
      </c>
      <c r="C182" s="6"/>
    </row>
    <row r="183" ht="14.25">
      <c r="A183" s="6">
        <v>4</v>
      </c>
      <c r="B183" s="6" t="s">
        <v>55</v>
      </c>
      <c r="C183" s="6"/>
    </row>
    <row r="184" ht="14.25">
      <c r="A184" s="6">
        <v>5</v>
      </c>
      <c r="B184" s="6" t="s">
        <v>56</v>
      </c>
      <c r="C184" s="6"/>
    </row>
    <row r="185" ht="14.25">
      <c r="A185" s="6">
        <v>6</v>
      </c>
      <c r="B185" s="6" t="s">
        <v>57</v>
      </c>
      <c r="C185" s="6"/>
    </row>
    <row r="186" ht="14.25">
      <c r="A186" s="6">
        <v>7</v>
      </c>
      <c r="B186" s="6" t="s">
        <v>58</v>
      </c>
      <c r="C186" s="6"/>
    </row>
    <row r="187" ht="14.25">
      <c r="A187" s="6">
        <v>8</v>
      </c>
      <c r="B187" s="6" t="s">
        <v>59</v>
      </c>
      <c r="C187" s="6"/>
    </row>
    <row r="188" ht="14.25">
      <c r="A188" s="6">
        <v>9</v>
      </c>
      <c r="B188" s="6" t="s">
        <v>60</v>
      </c>
      <c r="C188" s="6"/>
    </row>
    <row r="189" ht="14.25">
      <c r="A189" s="6">
        <v>10</v>
      </c>
      <c r="B189" s="6" t="s">
        <v>61</v>
      </c>
      <c r="C189" s="6"/>
    </row>
    <row r="190" ht="14.25">
      <c r="A190" s="6">
        <v>11</v>
      </c>
      <c r="B190" s="6" t="s">
        <v>62</v>
      </c>
      <c r="C190" s="6"/>
    </row>
    <row r="191" ht="14.25">
      <c r="A191" s="6">
        <v>12</v>
      </c>
      <c r="B191" s="6" t="s">
        <v>63</v>
      </c>
      <c r="C191" s="6"/>
    </row>
    <row r="192" ht="14.25">
      <c r="A192" s="6">
        <v>13</v>
      </c>
      <c r="B192" s="6" t="s">
        <v>64</v>
      </c>
      <c r="C192" s="6"/>
    </row>
    <row r="193" ht="14.25">
      <c r="A193" s="6">
        <v>14</v>
      </c>
      <c r="B193" s="6" t="s">
        <v>240</v>
      </c>
      <c r="C193" s="6"/>
    </row>
    <row r="194" ht="14.25">
      <c r="A194" s="6">
        <v>15</v>
      </c>
      <c r="B194" s="6" t="s">
        <v>66</v>
      </c>
      <c r="C194" s="6"/>
    </row>
    <row r="195" ht="14.25">
      <c r="A195" s="6">
        <v>16</v>
      </c>
      <c r="B195" s="6" t="s">
        <v>67</v>
      </c>
      <c r="C195" s="6"/>
    </row>
    <row r="196" ht="14.25">
      <c r="A196" s="6">
        <v>17</v>
      </c>
      <c r="B196" s="6" t="s">
        <v>68</v>
      </c>
      <c r="C196" s="6"/>
    </row>
    <row r="197" ht="14.25">
      <c r="A197" s="6">
        <v>18</v>
      </c>
      <c r="B197" s="6" t="s">
        <v>69</v>
      </c>
      <c r="C197" s="6"/>
    </row>
    <row r="198" ht="14.25">
      <c r="A198" s="6">
        <v>19</v>
      </c>
      <c r="B198" s="6" t="s">
        <v>241</v>
      </c>
      <c r="C198" s="6"/>
    </row>
    <row r="199" ht="14.25">
      <c r="A199" s="6">
        <v>20</v>
      </c>
      <c r="B199" s="6" t="s">
        <v>71</v>
      </c>
      <c r="C199" s="6"/>
    </row>
    <row r="200" ht="14.25">
      <c r="A200" s="6">
        <v>21</v>
      </c>
      <c r="B200" s="6" t="s">
        <v>72</v>
      </c>
      <c r="C200" s="6"/>
    </row>
    <row r="201" ht="14.25">
      <c r="A201" s="6">
        <v>22</v>
      </c>
      <c r="B201" s="6" t="s">
        <v>73</v>
      </c>
      <c r="C201" s="6"/>
    </row>
    <row r="202" ht="14.25">
      <c r="A202" s="6">
        <v>23</v>
      </c>
      <c r="B202" s="6" t="s">
        <v>74</v>
      </c>
      <c r="C202" s="6"/>
    </row>
    <row r="203" ht="14.25">
      <c r="A203" s="6">
        <v>24</v>
      </c>
      <c r="B203" s="6" t="s">
        <v>75</v>
      </c>
      <c r="C203" s="6"/>
    </row>
    <row r="204" ht="14.25">
      <c r="A204" s="6">
        <v>25</v>
      </c>
      <c r="B204" s="6" t="s">
        <v>76</v>
      </c>
      <c r="C204" s="6"/>
    </row>
    <row r="205" ht="14.25">
      <c r="A205" s="6">
        <v>26</v>
      </c>
      <c r="B205" s="6" t="s">
        <v>242</v>
      </c>
      <c r="C205" s="6"/>
    </row>
    <row r="206" ht="14.25">
      <c r="A206" s="6">
        <v>27</v>
      </c>
      <c r="B206" s="6" t="s">
        <v>78</v>
      </c>
      <c r="C206" s="6"/>
    </row>
    <row r="207" ht="14.25">
      <c r="A207" s="6">
        <v>28</v>
      </c>
      <c r="B207" s="6" t="s">
        <v>79</v>
      </c>
      <c r="C207" s="6"/>
    </row>
    <row r="208" ht="14.25">
      <c r="A208" s="6">
        <v>29</v>
      </c>
      <c r="B208" s="6" t="s">
        <v>80</v>
      </c>
      <c r="C208" s="6"/>
    </row>
    <row r="209" ht="14.25">
      <c r="A209" s="6">
        <v>30</v>
      </c>
      <c r="B209" s="6" t="s">
        <v>81</v>
      </c>
      <c r="C209" s="6"/>
    </row>
    <row r="210" ht="14.25">
      <c r="A210" s="6">
        <v>31</v>
      </c>
      <c r="B210" s="6" t="s">
        <v>82</v>
      </c>
      <c r="C210" s="6"/>
    </row>
    <row r="211" ht="14.25">
      <c r="A211" s="6">
        <v>32</v>
      </c>
      <c r="B211" s="6" t="s">
        <v>83</v>
      </c>
      <c r="C211" s="6"/>
    </row>
    <row r="212" ht="14.25">
      <c r="A212" s="6">
        <v>33</v>
      </c>
      <c r="B212" s="6" t="s">
        <v>84</v>
      </c>
      <c r="C212" s="6"/>
    </row>
    <row r="213" ht="14.25">
      <c r="A213" s="6">
        <v>34</v>
      </c>
      <c r="B213" s="6" t="s">
        <v>85</v>
      </c>
      <c r="C213" s="6"/>
    </row>
    <row r="214" ht="14.25">
      <c r="A214" s="6">
        <v>35</v>
      </c>
      <c r="B214" s="6" t="s">
        <v>86</v>
      </c>
      <c r="C214" s="6"/>
    </row>
    <row r="215" ht="14.25">
      <c r="A215" s="6">
        <v>36</v>
      </c>
      <c r="B215" s="6" t="s">
        <v>87</v>
      </c>
      <c r="C215" s="6"/>
    </row>
    <row r="216" ht="14.25">
      <c r="A216" s="6">
        <v>37</v>
      </c>
      <c r="B216" s="6" t="s">
        <v>88</v>
      </c>
      <c r="C216" s="6"/>
    </row>
    <row r="217" ht="14.25">
      <c r="A217" s="6">
        <v>38</v>
      </c>
      <c r="B217" s="6" t="s">
        <v>89</v>
      </c>
      <c r="C217" s="6"/>
    </row>
    <row r="218" ht="14.25">
      <c r="A218" s="6">
        <v>39</v>
      </c>
      <c r="B218" s="6" t="s">
        <v>90</v>
      </c>
      <c r="C218" s="6"/>
    </row>
    <row r="219" ht="14.25">
      <c r="A219" s="6">
        <v>40</v>
      </c>
      <c r="B219" s="6" t="s">
        <v>91</v>
      </c>
      <c r="C219" s="6"/>
    </row>
    <row r="220" ht="14.25">
      <c r="A220" s="6">
        <v>41</v>
      </c>
      <c r="B220" s="6" t="s">
        <v>92</v>
      </c>
      <c r="C220" s="6"/>
    </row>
    <row r="221" ht="14.25">
      <c r="A221" s="6">
        <v>42</v>
      </c>
      <c r="B221" s="6" t="s">
        <v>93</v>
      </c>
      <c r="C221" s="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4" max="4" width="16.00390625"/>
    <col customWidth="1" min="8" max="8" width="13.7109375"/>
  </cols>
  <sheetData>
    <row r="1" ht="14.25">
      <c r="A1" s="1" t="s">
        <v>248</v>
      </c>
      <c r="B1" s="1" t="s">
        <v>249</v>
      </c>
      <c r="C1" s="1" t="s">
        <v>250</v>
      </c>
      <c r="D1" s="1" t="s">
        <v>251</v>
      </c>
      <c r="E1" s="1" t="s">
        <v>252</v>
      </c>
      <c r="F1" s="1" t="s">
        <v>253</v>
      </c>
      <c r="G1" s="1" t="s">
        <v>254</v>
      </c>
      <c r="H1" s="1" t="s">
        <v>255</v>
      </c>
      <c r="I1" s="1" t="s">
        <v>245</v>
      </c>
      <c r="J1" s="1" t="s">
        <v>256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terms:modified xsi:type="dcterms:W3CDTF">2026-03-19T18:46:50Z</dcterms:modified>
</cp:coreProperties>
</file>